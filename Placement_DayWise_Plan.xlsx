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eory (day-wise)" sheetId="1" state="visible" r:id="rId3"/>
    <sheet name="Coding (day-wise)" sheetId="2" state="visible" r:id="rId4"/>
    <sheet name="Daily load" sheetId="3" state="visible" r:id="rId5"/>
  </sheets>
  <definedNames>
    <definedName function="false" hidden="true" localSheetId="1" name="_xlnm._FilterDatabase" vbProcedure="false">'Coding (day-wise)'!$A$6:$M$76</definedName>
    <definedName function="false" hidden="true" localSheetId="0" name="_xlnm._FilterDatabase" vbProcedure="false">'Theory (day-wise)'!$A$6:$L$83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<sst xmlns="http://schemas.openxmlformats.org/spreadsheetml/2006/main" count="1300" uniqueCount="577">
  <si>
    <t xml:space="preserve">Placement Prep — Theory, day-wise (13 Oct–3 Nov · Must + Important)</t>
  </si>
  <si>
    <t xml:space="preserve">Sorted by date (13 Oct → 3 Nov). One row per topic. SUFFICIENT = must-do, enough on its own (your own files first; external only where they don't cover the topic). ADD-ON = optional extra depth, only if time permits.</t>
  </si>
  <si>
    <t xml:space="preserve">CampusX ML #n = position in your 100 Days of ML playlist. Mitesh L = CS7015 lecture, M = module. TuteDude Module/L = module and lecture. CWH § = CodeWithHarry DS course section. QB § = Interview Question Bank section.</t>
  </si>
  <si>
    <t xml:space="preserve">Red [External] = not in your project files. Est. hrs counts sufficient resources only (1.5× playback + short notes). Edit any estimate and the 'Daily load' tab recalculates. Bold date = first topic of that day.</t>
  </si>
  <si>
    <t xml:space="preserve">#</t>
  </si>
  <si>
    <t xml:space="preserve">Date</t>
  </si>
  <si>
    <t xml:space="preserve">Topic</t>
  </si>
  <si>
    <t xml:space="preserve">Syllabus area</t>
  </si>
  <si>
    <t xml:space="preserve">Priority</t>
  </si>
  <si>
    <t xml:space="preserve">Sufficient resource (full name)</t>
  </si>
  <si>
    <t xml:space="preserve">What to follow — sufficient resource</t>
  </si>
  <si>
    <t xml:space="preserve">Add-on content resource (full name)</t>
  </si>
  <si>
    <t xml:space="preserve">What to follow in add-on resource</t>
  </si>
  <si>
    <t xml:space="preserve">Est. hrs</t>
  </si>
  <si>
    <t xml:space="preserve">Status</t>
  </si>
  <si>
    <t xml:space="preserve">Notes</t>
  </si>
  <si>
    <t xml:space="preserve">Conditional probability, Bayes (two-coin problems), expectation</t>
  </si>
  <si>
    <t xml:space="preserve">7. Probability &amp; statistics</t>
  </si>
  <si>
    <t xml:space="preserve">Must</t>
  </si>
  <si>
    <t xml:space="preserve">1. CodeWithHarry — The Ultimate Job Ready Data Science Course
2. CampusX — Probability Basics (ML Roadmap 2022) (playlist, 10 videos)
3. Interview Question Bank (your project file)</t>
  </si>
  <si>
    <t xml:space="preserve">1. §12 Probability — all 7 lectures (Intro → Bayes' Theorem), 70 min
2. Only the random-variable &amp; expectation videos
3. §7 Probability problems — Netradyne two-coin ×3, Mastercard/Myntra Bayes, MAIG dice, expected tosses</t>
  </si>
  <si>
    <t xml:space="preserve">1. CampusX — 100 Days of Machine Learning (YouTube playlist, 134 videos)
2. CampusX — Probability Basics (ML Roadmap 2022) (playlist, 10 videos)
3. Blitzstein &amp; Hwang — Introduction to Probability (free PDF, Harvard Stat 110) [External]</t>
  </si>
  <si>
    <t xml:space="preserve">1. #82 Conditional Probability · #83 Independent Events · #84 Mutually Exclusive · #85 Bayes Theorem · #86 Bayes problem
2. Remaining videos
3. Ch 2 Conditional probability · Ch 9.1–9.3 Conditional expectation (expected tosses to HH)</t>
  </si>
  <si>
    <t xml:space="preserve">Not started</t>
  </si>
  <si>
    <t xml:space="preserve">Distributions (Bernoulli → exponential) &amp; CLT</t>
  </si>
  <si>
    <t xml:space="preserve">1. CodeWithHarry — The Ultimate Job Ready Data Science Course
2. Blitzstein &amp; Hwang — Introduction to Probability (free PDF, Harvard Stat 110) [External]
3. Interview Question Bank (your project file)</t>
  </si>
  <si>
    <t xml:space="preserve">1. §13 Probability Distributions &amp; CLT — all 5 lectures (Uniform, Binomial, Normal, CLT), 35 min
2. Ch 4.3 Poisson · Ch 5.5–5.6 Exponential &amp; memorylessness (not covered in your courses)
3. §7 Distributions — Meesho exponential + CLT, Citi CLT, Goldman min of exponentials</t>
  </si>
  <si>
    <t xml:space="preserve">1. CampusX — Statistics for Machine Learning (course, 13 lessons)
2. StatQuest with Josh Starmer (YouTube) [External]</t>
  </si>
  <si>
    <t xml:space="preserve">1. Lessons on distributions, sampling distribution and CLT
2. 'The Main Ideas behind Probability Distributions' · 'The Central Limit Theorem, Clearly Explained'</t>
  </si>
  <si>
    <t xml:space="preserve">Simulation: sampling from a PMF, fair coin from biased coin</t>
  </si>
  <si>
    <t xml:space="preserve">Interview Question Bank (your project file)</t>
  </si>
  <si>
    <t xml:space="preserve">§7 Netradyne cointoss → [a,b] &amp; 4/5/9 generator · InMobi fair coin from biased · Intuit PMF / simulate π (solve on paper; code is in the Coding tab)</t>
  </si>
  <si>
    <t xml:space="preserve">—</t>
  </si>
  <si>
    <t xml:space="preserve">Theory on paper today; the code version sits in the Coding tab</t>
  </si>
  <si>
    <t xml:space="preserve">MLE derivations; MAP &amp; link to regularization</t>
  </si>
  <si>
    <t xml:space="preserve">1. CampusX — 100 Days of Machine Learning (YouTube playlist, 134 videos)
2. Stanford CS229 Lecture Notes — Andrew Ng (free PDF) [External]
3. Interview Question Bank (your project file)</t>
  </si>
  <si>
    <t xml:space="preserve">1. #73 Logistic Regression Part 4 — Loss Function, Maximum Likelihood, BCE
2. Ch 9 — 'Bayesian statistics and regularization' (MAP; ridge = Gaussian prior)
3. §7 Rapido MLE pseudocode · Wells Fargo &amp; Goldman likelihood · CRED MAP/MLE</t>
  </si>
  <si>
    <t xml:space="preserve">StatQuest with Josh Starmer (YouTube) [External]</t>
  </si>
  <si>
    <t xml:space="preserve">'Maximum Likelihood, clearly explained!!!' · 'Maximum Likelihood for the Normal Distribution'</t>
  </si>
  <si>
    <t xml:space="preserve">Hypothesis testing: p-values, type I/II, t vs z, one vs two-tailed</t>
  </si>
  <si>
    <t xml:space="preserve">1. CampusX — Advance Statistics (ML Roadmap 2022) (playlist, 7 videos)
2. Interview Question Bank (your project file)</t>
  </si>
  <si>
    <t xml:space="preserve">1. All 7 videos
2. §7 Hypothesis testing — Meesho salary t-test, Airtel p-value for a layperson, Razorpay</t>
  </si>
  <si>
    <t xml:space="preserve">1. Penn State STAT 500 — Applied Statistics (online notes) [External]
2. StatQuest with Josh Starmer (YouTube) [External]</t>
  </si>
  <si>
    <t xml:space="preserve">1. Lesson 6a &amp; 6b Hypothesis testing · Lesson 7 Comparing two populations (t-tests)
2. 'p-values: What they are and how to interpret them'</t>
  </si>
  <si>
    <t xml:space="preserve">Confidence intervals &amp; A/B test design</t>
  </si>
  <si>
    <t xml:space="preserve">1. Penn State STAT 500 — Applied Statistics (online notes) [External]
2. Udacity — A/B Testing by Google (free course) [External]
3. Interview Question Bank (your project file)</t>
  </si>
  <si>
    <t xml:space="preserve">1. Lesson 5 Confidence intervals
2. Lesson 1 Overview · Lesson 4 Designing an experiment
3. §7 MAIG confidence interval · §11 Rapido A/B split &amp; test choice</t>
  </si>
  <si>
    <t xml:space="preserve">Udacity — A/B Testing by Google (free course) [External]</t>
  </si>
  <si>
    <t xml:space="preserve">Lesson 3 Choosing &amp; characterizing metrics · Lesson 2 Policy &amp; ethics (skim)</t>
  </si>
  <si>
    <t xml:space="preserve">Data prep: feature scaling &amp; encoding, pipelines</t>
  </si>
  <si>
    <t xml:space="preserve">1. Classical ML</t>
  </si>
  <si>
    <t xml:space="preserve">CampusX — 100 Days of Machine Learning (YouTube playlist, 134 videos)</t>
  </si>
  <si>
    <t xml:space="preserve">#23 What is Feature Engineering · #24 Standardization · #25 Normalization · #26 Ordinal/Label Encoding · #27 One-Hot Encoding · #28 Column Transformer · #29 ML Pipelines A–Z</t>
  </si>
  <si>
    <t xml:space="preserve">1. TuteDude — Generative AI course
2. CodeWithHarry — The Ultimate Job Ready Data Science Course</t>
  </si>
  <si>
    <t xml:space="preserve">1. Module 12 — L16 Feature Engineering · L17 Feature Encoding · L18 One Hot Encoder · L19 Feature Scaling · L20 Column Transformer · L21 ML Pipeline
2. §16 Practical ML — 'Handling Categorical values', 'Feature scaling in sklearn', 'Constructing Pipelines', 'ColumnTransformer…'</t>
  </si>
  <si>
    <t xml:space="preserve">Data prep: missing values &amp; outliers</t>
  </si>
  <si>
    <t xml:space="preserve">#35 Complete Case Analysis · #36 Simple Imputer · #37 Missing categorical · #39 KNN Imputer · #41 What are Outliers · #42 Z-score · #43 IQR</t>
  </si>
  <si>
    <t xml:space="preserve">1. CampusX — 100 Days of Machine Learning (YouTube playlist, 134 videos)
2. CodeWithHarry — The Ultimate Job Ready Data Science Course
3. TuteDude — Generative AI course</t>
  </si>
  <si>
    <t xml:space="preserve">1. #40 MICE · #44 Percentile / Winsorization
2. §16 — 'Further Preprocessing &amp; Handling Missing Data'
3. Module 12 — L11 Data Cleaning · L13 Automated Data Cleaning · L14–15 EDA steps</t>
  </si>
  <si>
    <t xml:space="preserve">Data prep: multicollinearity &amp; VIF</t>
  </si>
  <si>
    <t xml:space="preserve">1. Penn State STAT 501 — Regression Methods (online notes) [External]
2. Interview Question Bank (your project file)</t>
  </si>
  <si>
    <t xml:space="preserve">1. Lesson 12: Multicollinearity — 12.3 &amp; 12.4 (detecting with VIF)
2. §1 Feature engineering — Intuit VIF/correlation Qs (3), Airtel VIF, Wells Fargo correlated features</t>
  </si>
  <si>
    <t xml:space="preserve">Data prep: cross-validation &amp; data leakage</t>
  </si>
  <si>
    <t xml:space="preserve">1. TuteDude — Generative AI course
2. scikit-learn User Guide / examples [External]
3. Interview Question Bank (your project file)</t>
  </si>
  <si>
    <t xml:space="preserve">1. Module 12 — L22 Train vs Validation vs Test Data &amp; Cross Validation
2. 'Common pitfalls and recommended practices' → Data leakage section
3. §1 Feature engineering &amp; data preparation — all 15 Qs (Intuit scaler-before-split, Razorpay full pipeline)</t>
  </si>
  <si>
    <t xml:space="preserve">1. CodeWithHarry — The Ultimate Job Ready Data Science Course
2. StatQuest with Josh Starmer (YouTube) [External]</t>
  </si>
  <si>
    <t xml:space="preserve">1. §16 — 'Creating a Test Set' · 'Stratified Shuffle Split'
2. 'Machine Learning Fundamentals: Cross Validation'</t>
  </si>
  <si>
    <t xml:space="preserve">Linear regression (part 1): intuition, maths, assumptions, MLE view</t>
  </si>
  <si>
    <t xml:space="preserve">1. #50 Simple LR · #51 Simple LR maths from scratch · #53 Multiple LR intuition · #54 Multiple LR maths · #55 Multiple LR code · #56 Assumptions of LR
2. Ch 1.3 Probabilistic interpretation (MLE view — not in your courses)
3. §1 Linear regression — all 20 Qs</t>
  </si>
  <si>
    <t xml:space="preserve">1. TuteDude — Generative AI course
2. CampusX — Linear Regression – Updated 2022 (course, 6 lessons)
3. Stanford CS229 Lecture Notes — Andrew Ng (free PDF) [External]</t>
  </si>
  <si>
    <t xml:space="preserve">1. Module 12 — L23 Linear Regression
2. Quick revision only
3. Ch 1.1 LMS algorithm · 1.2 Normal equations</t>
  </si>
  <si>
    <t xml:space="preserve">Linear regression (part 2): gradient descent — batch, SGD, mini-batch</t>
  </si>
  <si>
    <t xml:space="preserve">#57 Gradient Descent from scratch · #58 Batch GD · #59 Stochastic GD · #60 Mini-batch GD</t>
  </si>
  <si>
    <t xml:space="preserve">Long videos (#57 is 2 h) — 1.25–1.5× speed is fine</t>
  </si>
  <si>
    <t xml:space="preserve">Bias–variance tradeoff &amp; fixing overfitting</t>
  </si>
  <si>
    <t xml:space="preserve">1. CampusX — 100 Days of Machine Learning (YouTube playlist, 134 videos)
2. Mitesh M. Khapra — CS7015 Deep Learning, IIT Madras (YouTube videos + slides)
3. Interview Question Bank (your project file)</t>
  </si>
  <si>
    <t xml:space="preserve">1. #61 Polynomial Regression · #62 Bias–Variance Trade-off
2. Lecture 8 — M1 Bias and Variance · M2 Train error vs test error
3. §1 Bias–variance &amp; overfitting — all 13 Qs</t>
  </si>
  <si>
    <t xml:space="preserve">TuteDude — Generative AI course</t>
  </si>
  <si>
    <t xml:space="preserve">Module 12 — L25 Overfitting, Underfitting, Variance &amp; Bias</t>
  </si>
  <si>
    <t xml:space="preserve">L1 vs L2: sparsity geometry, ridge as Gaussian prior</t>
  </si>
  <si>
    <t xml:space="preserve">1. CampusX — 100 Days of Machine Learning (YouTube playlist, 134 videos)
2. Interview Question Bank (your project file)</t>
  </si>
  <si>
    <t xml:space="preserve">1. #63 Ridge Part 1 · #64 Ridge Part 2 (maths) · #65 Ridge Part 3 (GD) · #66 5 Key Points · #67 Lasso · #68 Why Lasso creates sparsity
2. §1 Regularization — all 19 Qs (Gaussian-prior view: see your MAP notes)</t>
  </si>
  <si>
    <t xml:space="preserve">1. CampusX — 100 Days of Machine Learning (YouTube playlist, 134 videos)
2. CampusX — Regularization (course, 7 lessons)</t>
  </si>
  <si>
    <t xml:space="preserve">1. #69 ElasticNet
2. Revision only</t>
  </si>
  <si>
    <t xml:space="preserve">Logistic regression (part 1): perceptron trick, sigmoid, BCE, GD</t>
  </si>
  <si>
    <t xml:space="preserve">#70 Perceptron Trick · #71 Perceptron code · #72 Sigmoid · #74 Derivative of Sigmoid · #75 GD &amp; code from scratch (#73 already done with MLE)</t>
  </si>
  <si>
    <t xml:space="preserve">1. TuteDude — Generative AI course
2. Stanford CS229 Lecture Notes — Andrew Ng (free PDF) [External]</t>
  </si>
  <si>
    <t xml:space="preserve">1. Module 12 — L26 Logistic Regression
2. Ch 2 Classification &amp; logistic regression (derivation)</t>
  </si>
  <si>
    <t xml:space="preserve">Logistic regression (part 2): softmax, 'why linear', convexity</t>
  </si>
  <si>
    <t xml:space="preserve">1. #79 Softmax Regression
2. §1 Logistic regression — all 30 Qs</t>
  </si>
  <si>
    <t xml:space="preserve">1. CampusX — 100 Days of Machine Learning (YouTube playlist, 134 videos)
2. CampusX — Logistic Regression (Updated) (course, 9 lessons)
3. Stanford CS229 Lecture Notes — Andrew Ng (free PDF) [External]</t>
  </si>
  <si>
    <t xml:space="preserve">1. #80 Polynomial Features in LR · #81 LR Hyperparameters
2. Revision only
3. Ch 3 GLMs → softmax regression</t>
  </si>
  <si>
    <t xml:space="preserve">Confusion matrix, precision / recall / F1, accuracy on imbalance</t>
  </si>
  <si>
    <t xml:space="preserve">2. Model evaluation &amp; metrics</t>
  </si>
  <si>
    <t xml:space="preserve">#76 Accuracy &amp; Confusion Matrix, Type 1/2 errors · #77 Precision, Recall &amp; F1</t>
  </si>
  <si>
    <t xml:space="preserve">1. Module 12 — L27 Classification Metrics
2. §16 — 'Measuring Accuracy of our Predictions'</t>
  </si>
  <si>
    <t xml:space="preserve">ROC-AUC vs PR-AUC, threshold choice, AUC = 0.2</t>
  </si>
  <si>
    <t xml:space="preserve">1. CampusX — 100 Days of Machine Learning (YouTube playlist, 134 videos)
2. scikit-learn User Guide / examples [External]
3. Interview Question Bank (your project file)</t>
  </si>
  <si>
    <t xml:space="preserve">1. #78 ROC Curve &amp; ROC-AUC
2. 'Precision-Recall' example (PR curve, average precision — not in your courses)
3. §2 Model evaluation &amp; metrics — all 33 Qs</t>
  </si>
  <si>
    <t xml:space="preserve">'ROC and AUC, Clearly Explained!'</t>
  </si>
  <si>
    <t xml:space="preserve">Regression metrics: MSE, MAE, RMSE, R², adjusted R²</t>
  </si>
  <si>
    <t xml:space="preserve">#52 Regression Metrics – MSE, MAE, RMSE, R² &amp; Adjusted R²</t>
  </si>
  <si>
    <t xml:space="preserve">1. Module 12 — L24 Metrics in Regression
2. §16 — 'Measuring Errors (RMSE &amp; MAE)'</t>
  </si>
  <si>
    <t xml:space="preserve">Class imbalance: SMOTE, class weights, choosing a metric</t>
  </si>
  <si>
    <t xml:space="preserve">1. #133 Imbalanced Data – Undersampling, Oversampling, SMOTE
2. §1 Imbalanced data — all 11 Qs</t>
  </si>
  <si>
    <t xml:space="preserve">imbalanced-learn User Guide [External]</t>
  </si>
  <si>
    <t xml:space="preserve">'Over-sampling' → SMOTE section</t>
  </si>
  <si>
    <t xml:space="preserve">Trees: Gini / entropy, continuous splits, regression trees</t>
  </si>
  <si>
    <t xml:space="preserve">#97 Decision Trees – Entropy, Gini, Information Gain · #98 DT Hyperparameters &amp; overfitting · #99 Regression Trees</t>
  </si>
  <si>
    <t xml:space="preserve">1. TuteDude — Generative AI course
2. StatQuest with Josh Starmer (YouTube) [External]</t>
  </si>
  <si>
    <t xml:space="preserve">1. Module 12 — L31 Decision Tree Algorithm
2. 'Decision and Classification Trees, Clearly Explained' · 'Regression Trees, Clearly Explained'</t>
  </si>
  <si>
    <t xml:space="preserve">Ensembles (part 1): bagging &amp; random forest</t>
  </si>
  <si>
    <t xml:space="preserve">#101 Intro to Ensembles · #105 Bagging Part 1 · #108 Intro to Random Forest · #109 RF Bias–Variance · #110 Bagging vs RF · #113 OOB Score · #114 Feature Importance</t>
  </si>
  <si>
    <t xml:space="preserve">1. Module 12 — L32 Bagging vs Boosting &amp; Random Forest
2. 'Random Forests Part 1'</t>
  </si>
  <si>
    <t xml:space="preserve">Ensembles (part 2): boosting, gradient boosting, XGBoost intuition</t>
  </si>
  <si>
    <t xml:space="preserve">1. #119 Bagging vs Boosting · #120 Gradient Boosting Explained · #122 GB for Classification · #123 Introduction to XGBoost
2. §1 Decision trees &amp; ensembles — all 26 Qs</t>
  </si>
  <si>
    <t xml:space="preserve">1. CampusX — 100 Days of Machine Learning (YouTube playlist, 134 videos)
2. StatQuest with Josh Starmer (YouTube) [External]</t>
  </si>
  <si>
    <t xml:space="preserve">1. #121 Maths of Gradient Boosting · #124–126 XGBoost regression / classification / maths
2. 'Gradient Boost Part 1' · 'XGBoost Part 1'</t>
  </si>
  <si>
    <t xml:space="preserve">Perceptron → MLP → feedforward networks</t>
  </si>
  <si>
    <t xml:space="preserve">3. Deep learning fundamentals</t>
  </si>
  <si>
    <t xml:space="preserve">Mitesh M. Khapra — CS7015 Deep Learning, IIT Madras (YouTube videos + slides)</t>
  </si>
  <si>
    <t xml:space="preserve">Lecture 2 — M1–M8 (McCulloch–Pitts, perceptron, learning algorithm, MLPs) · Lecture 3 — M1–M5 (sigmoid neuron, GD, FNNs)</t>
  </si>
  <si>
    <t xml:space="preserve">Module 14 — L3 Perceptron · L4 Multi Layered Perceptron</t>
  </si>
  <si>
    <t xml:space="preserve">Backpropagation in matrix form, counting parameters</t>
  </si>
  <si>
    <t xml:space="preserve">1. Mitesh M. Khapra — CS7015 Deep Learning, IIT Madras (YouTube videos + slides)
2. Interview Question Bank (your project file)</t>
  </si>
  <si>
    <t xml:space="preserve">1. Lecture 4 — M1–M10 (feedforward networks, backpropagation)
2. §3 Myntra FNN gradient · Razorpay parameter count · Fidelity/FastCode backprop</t>
  </si>
  <si>
    <t xml:space="preserve">1. TuteDude — Generative AI course
2. CampusX — 100 Days of Deep Learning (YouTube playlist, 84 videos)</t>
  </si>
  <si>
    <t xml:space="preserve">1. Module 15 — L5 Backpropagation · L6 Backprop step by step
2. 'Backpropagation Part 1 – The What', 'Part 2 – The How', 'Part 3 – The Why'</t>
  </si>
  <si>
    <t xml:space="preserve">Matrix calculus for backprop</t>
  </si>
  <si>
    <t xml:space="preserve">8. Linear algebra, calculus &amp; optimization</t>
  </si>
  <si>
    <t xml:space="preserve">Stanford CS229 Lecture Notes — Andrew Ng (free PDF) [External]</t>
  </si>
  <si>
    <t xml:space="preserve">'Linear Algebra Review and Reference' §4 Matrix calculus (not in your courses)</t>
  </si>
  <si>
    <t xml:space="preserve">Petersen &amp; Pedersen — The Matrix Cookbook (free PDF) [External]</t>
  </si>
  <si>
    <t xml:space="preserve">§2 Derivatives — formula reference</t>
  </si>
  <si>
    <t xml:space="preserve">Activations: sigmoid, tanh, ReLU</t>
  </si>
  <si>
    <t xml:space="preserve">1. Mitesh M. Khapra — CS7015 Deep Learning, IIT Madras (YouTube videos + slides)
2. CampusX — 100 Days of Deep Learning (YouTube playlist, 84 videos)</t>
  </si>
  <si>
    <t xml:space="preserve">1. Lecture 9 — M3 Better activation functions
2. Videos on 'Activation Functions' and 'ReLU variants'</t>
  </si>
  <si>
    <t xml:space="preserve">Module 16 — L7 What is Activation Function · L8 Types of Activation Function</t>
  </si>
  <si>
    <t xml:space="preserve">Losses: MSE, BCE, CE; multi-class vs multi-label</t>
  </si>
  <si>
    <t xml:space="preserve">1. CampusX — 100 Days of Deep Learning (YouTube playlist, 84 videos)
2. Interview Question Bank (your project file)</t>
  </si>
  <si>
    <t xml:space="preserve">1. Video 'Loss Functions in Deep Learning'
2. §3 MAIG BCE vs CE &amp; multi-label · Netradyne 'why entropy' · Oracle/Myntra cross-entropy</t>
  </si>
  <si>
    <t xml:space="preserve">Module 15 — L2 Loss Function · L3 Regression Loss &amp; BCE · L4 Multi-class loss</t>
  </si>
  <si>
    <t xml:space="preserve">GD → SGD → momentum → Adam</t>
  </si>
  <si>
    <t xml:space="preserve">1. Lecture 5 — M1–M9 (GD, momentum, Nesterov, SGD/mini-batch, AdaGrad, RMSProp, Adam)
2. §3 Mastercard Adam build-up · MAIG Adam bias correction · Cerebras GD→Adam</t>
  </si>
  <si>
    <t xml:space="preserve">1. TuteDude — Generative AI course
2. CampusX — Deep Learning Optimizers (course, 7 lessons)</t>
  </si>
  <si>
    <t xml:space="preserve">1. Module 15 — L7–L8 · Module 16 — L9 Optimizers · L10 Adagrad · L11 RMSProp &amp; Adam
2. All 7 lessons (EWMA → Adam)</t>
  </si>
  <si>
    <t xml:space="preserve">Vanishing &amp; exploding gradients</t>
  </si>
  <si>
    <t xml:space="preserve">1. Video 'Vanishing Gradient Problem in ANN'
2. §3 CRED vanishing/exploding · MAIG 'CNN vs RNN vanishing'</t>
  </si>
  <si>
    <t xml:space="preserve">Module 15 — L9 Vanishing Gradient · L10 Reason, identify &amp; handle</t>
  </si>
  <si>
    <t xml:space="preserve">Batch norm vs layer norm</t>
  </si>
  <si>
    <t xml:space="preserve">1. Mitesh M. Khapra — CS7015 Deep Learning, IIT Madras (YouTube videos + slides)
2. CampusX — 100 Days of Deep Learning (YouTube playlist, 84 videos)
3. Interview Question Bank (your project file)</t>
  </si>
  <si>
    <t xml:space="preserve">1. Lecture 9 — M5 Batch Normalization
2. Transformer section — 'Layer Normalization' video
3. §3 Qualcomm BN equations · OLA BN vs LN</t>
  </si>
  <si>
    <t xml:space="preserve">1. TuteDude — Generative AI course
2. Ba, Kiros &amp; Hinton — 'Layer Normalization' (arXiv 2016) [External]</t>
  </si>
  <si>
    <t xml:space="preserve">1. Module 16 — L5 Batch Normalization · L6 BatchNorm in depth
2. Sections 1–3</t>
  </si>
  <si>
    <t xml:space="preserve">Dropout at train vs inference</t>
  </si>
  <si>
    <t xml:space="preserve">CampusX — 100 Days of Deep Learning (YouTube playlist, 84 videos)</t>
  </si>
  <si>
    <t xml:space="preserve">Videos 'Dropout Layer in Deep Learning' (theory + code)</t>
  </si>
  <si>
    <t xml:space="preserve">1. Mitesh M. Khapra — CS7015 Deep Learning, IIT Madras (YouTube videos + slides)
2. TuteDude — Generative AI course</t>
  </si>
  <si>
    <t xml:space="preserve">1. Lecture 8 — Dropout module
2. Module 16 — L3 Dropout Layers</t>
  </si>
  <si>
    <t xml:space="preserve">Residual connections, early stopping</t>
  </si>
  <si>
    <t xml:space="preserve">1. Lecture 8 — Early stopping module · Lecture 11 — ResNet module
2. §3 Oracle/Netradyne/OLA residual connections</t>
  </si>
  <si>
    <t xml:space="preserve">1. TuteDude — Generative AI course
2. CampusX — Improving a Neural Network's Performance (playlist, 4 videos)
3. He et al. — 'Deep Residual Learning for Image Recognition' (2015) [External]</t>
  </si>
  <si>
    <t xml:space="preserve">1. Module 16 — L1 Improving Performance · L2 Early Stopping · L4 Regularization in NN
2. All 4 videos
3. §3.1–3.2 + Fig. 2</t>
  </si>
  <si>
    <t xml:space="preserve">Convexity &amp; Hessian test; deriving the GD update</t>
  </si>
  <si>
    <t xml:space="preserve">1. CampusX — Maths for Machine Learning (playlist, 23 videos)
2. Mitesh M. Khapra — CS7015 Deep Learning, IIT Madras (YouTube videos + slides)
3. Interview Question Bank (your project file)</t>
  </si>
  <si>
    <t xml:space="preserve">1. Only the convexity / Hessian / optimization videos
2. Lecture 3 — gradient-descent module (Taylor-series derivation) — revise
3. §8 Intuit &amp; Meesho convexity · §1 Mastercard 'MSE is convex, why not closed form?' · Intuit 'why not set gradient to zero'</t>
  </si>
  <si>
    <t xml:space="preserve">1. Stanford CS229 — 'Convex Optimization Overview' (Zico Kolter, free PDF) [External]
2. CampusX — 100 Days of Machine Learning (YouTube playlist, 134 videos)</t>
  </si>
  <si>
    <t xml:space="preserve">1. §2 Convex sets · §3 Convex functions (Hessian condition)
2. #57 Gradient Descent From Scratch (rewatch only if needed)</t>
  </si>
  <si>
    <t xml:space="preserve">Eigenvalues, SVD and link to PCA</t>
  </si>
  <si>
    <t xml:space="preserve">1. Lecture 6 — M1–M8 (eigenvalues, eigen-decomposition, basis, PCA, SVD)
2. §8 Mastercard SVD &amp; Eckart–Young · FastCode SVD image compression</t>
  </si>
  <si>
    <t xml:space="preserve">1. CampusX — Linear Algebra for Machine Learning (playlist, 8 videos)
2. 3Blue1Brown — Essence of Linear Algebra (YouTube) [External]</t>
  </si>
  <si>
    <t xml:space="preserve">1. Eigen &amp; SVD videos
2. Ch 14 Eigenvectors and eigenvalues</t>
  </si>
  <si>
    <t xml:space="preserve">BoW, TF-IDF</t>
  </si>
  <si>
    <t xml:space="preserve">5. NLP &amp; sequence models</t>
  </si>
  <si>
    <t xml:space="preserve">CampusX — Natural Language Processing (NLP) (course, 8 lessons)</t>
  </si>
  <si>
    <t xml:space="preserve">Lessons on text representation (BoW, n-grams, TF-IDF)</t>
  </si>
  <si>
    <t xml:space="preserve">Module 13 — L15 Text Vectorization · L16 One-Hot &amp; BoW · L17 N-grams &amp; TF-IDF</t>
  </si>
  <si>
    <t xml:space="preserve">Word2Vec vs BERT (static vs contextual)</t>
  </si>
  <si>
    <t xml:space="preserve">1. Mitesh M. Khapra — CS7015 Deep Learning, IIT Madras (YouTube videos + slides)
2. Jay Alammar — 'The Illustrated BERT, ELMo, and co.' (blog) [External]
3. Interview Question Bank (your project file)</t>
  </si>
  <si>
    <t xml:space="preserve">1. Lecture 10 — M1–M6 (one-hot, distributed representations, SVD, CBOW, skip-gram)
2. Whole post (contextual embeddings — not in your courses)
3. §5 Meesho &amp; Wells Fargo Word2Vec · Wells Fargo static-embedding drawbacks</t>
  </si>
  <si>
    <t xml:space="preserve">1. TuteDude — Generative AI course
2. Jay Alammar — 'The Illustrated Word2vec' (blog) [External]</t>
  </si>
  <si>
    <t xml:space="preserve">1. Module 13 — L18 Word2Vec Overview · L19 Types · L20 Training your own Word2Vec
2. Whole post</t>
  </si>
  <si>
    <t xml:space="preserve">RNN problems → BPTT → LSTM &amp; GRU gates</t>
  </si>
  <si>
    <t xml:space="preserve">Lecture 14 — M1–M5 (RNNs, BPTT, vanishing/exploding, truncated BPTT) · Lecture 15 — M1–M3 (GRUs, LSTMs)</t>
  </si>
  <si>
    <t xml:space="preserve">1. TuteDude — Generative AI course
2. Christopher Olah — 'Understanding LSTM Networks' (colah's blog) [External]</t>
  </si>
  <si>
    <t xml:space="preserve">1. Module 19 — L1, L3, L4, L7–L10 · Module 21 — L1–L3 Gates in LSTM
2. Whole post</t>
  </si>
  <si>
    <t xml:space="preserve">Encoder–decoder &amp; the attention mechanism</t>
  </si>
  <si>
    <t xml:space="preserve">1. Lecture 16 — M1–M3 (encoder–decoder models, attention mechanism)
2. §5 OLA/MAIG RNN problems · Qualcomm &amp; Lam LSTM gates · Myntra RNN backprop</t>
  </si>
  <si>
    <t xml:space="preserve">Module 24 — L8 Encoder–Decoder for Seq2Seq</t>
  </si>
  <si>
    <t xml:space="preserve">Transformer (part 1): self-attention Q/K/V, multi-head, encoder</t>
  </si>
  <si>
    <t xml:space="preserve">Module 24 — L4 Positional Encoding &amp; Self-Attention · L5 Multi-Head Attention &amp; Encoder · L6 Decoder</t>
  </si>
  <si>
    <t xml:space="preserve">1. CampusX — 100 Days of Deep Learning (YouTube playlist, 84 videos)
2. Jay Alammar — 'The Illustrated Transformer' (blog) [External]
3. 3Blue1Brown — Neural Networks series (YouTube) [External]</t>
  </si>
  <si>
    <t xml:space="preserve">1. Transformer section: Self-Attention · Scaled Dot-Product · Multi-Head · Positional Encoding · Encoder
2. Whole post
3. Ch 5 'Transformers' · Ch 6 'Attention in transformers'</t>
  </si>
  <si>
    <t xml:space="preserve">Transformer (part 2): masking, cross-attention, walk the paper diagram</t>
  </si>
  <si>
    <t xml:space="preserve">1. TuteDude — Generative AI course
2. Vaswani et al. — 'Attention Is All You Need' (2017) [External]
3. Interview Question Bank (your project file)</t>
  </si>
  <si>
    <t xml:space="preserve">1. Module 24 — L9 Attention Mechanism
2. §3 Model Architecture + Fig. 1 — walk through it aloud (OLA asked this)
3. §5 Attention/transformer Qs — CRED, Myntra, OLA, Qualcomm, FastCode, Citi</t>
  </si>
  <si>
    <t xml:space="preserve">Transformer section: Masked Self-Attention · Cross-Attention · Decoder</t>
  </si>
  <si>
    <t xml:space="preserve">Convolution, stride, padding, output size, pooling, CNN vs dense</t>
  </si>
  <si>
    <t xml:space="preserve">4. Computer vision</t>
  </si>
  <si>
    <t xml:space="preserve">Lecture 11 — M1 Convolution operation · M2 Input/output/filter size · M3 CNNs</t>
  </si>
  <si>
    <t xml:space="preserve">1. CampusX — Convolutional Neural Networks (CNNs) (course, 7 lessons)
2. Stanford CS231n notes — Convolutional Neural Networks [External]</t>
  </si>
  <si>
    <t xml:space="preserve">1. All 7 lessons
2. 'Convolutional Layer' · 'Pooling Layer' · 'Layer Sizing Patterns'</t>
  </si>
  <si>
    <t xml:space="preserve">Kernel sizes, 1×1 convolutions, ResNet skip connection</t>
  </si>
  <si>
    <t xml:space="preserve">1. Lecture 11 — M4 LeNet, AlexNet, ZF-Net, VGGNet · M5 GoogLeNet (1×1 conv) &amp; ResNet
2. §4 Computer vision — InMobi, MAIG output size &amp; 3×3 vs 7×7, Netradyne 1×1, Myntra, Razorpay ResNet</t>
  </si>
  <si>
    <t xml:space="preserve">Stanford CS231n notes — Convolutional Neural Networks [External]</t>
  </si>
  <si>
    <t xml:space="preserve">'Case studies' (VGG, GoogLeNet, ResNet)</t>
  </si>
  <si>
    <t xml:space="preserve">RAG pipeline (part 1): what RAG is, loaders, chunking, embeddings</t>
  </si>
  <si>
    <t xml:space="preserve">6. GenAI, LLMs &amp; RAG</t>
  </si>
  <si>
    <t xml:space="preserve">CampusX — RAG Playlist (10 videos)</t>
  </si>
  <si>
    <t xml:space="preserve">Videos 1–5</t>
  </si>
  <si>
    <t xml:space="preserve">1. Module 28 — L5–L13 Document Loaders &amp; Text Splitters · L14–L17 Embedding Models
2. §19 Large Language Models — L4 Retrieval Augmented Generation (RAG)</t>
  </si>
  <si>
    <t xml:space="preserve">RAG pipeline (part 2): vector DB, retrieval, reranker, prompt</t>
  </si>
  <si>
    <t xml:space="preserve">1. CampusX — RAG Playlist (10 videos)
2. Pinecone Learn — 'Rerankers and Two-Stage Retrieval' [External]
3. Interview Question Bank (your project file)</t>
  </si>
  <si>
    <t xml:space="preserve">1. Videos 6–10
2. Whole article (reranker not in your courses)
3. §6 RAG — all 18 Qs (Oracle, Citi, Observe.AI, Walmart)</t>
  </si>
  <si>
    <t xml:space="preserve">Module 28 — L18–L21 Vector Stores, ChromaDB, FAISS · Module 29 — L1–L4 Retrievers, MMR, Multi-Query</t>
  </si>
  <si>
    <t xml:space="preserve">Hallucination causes &amp; mitigation; RAG vs fine-tuning</t>
  </si>
  <si>
    <t xml:space="preserve">1. TuteDude — Generative AI course
2. Lilian Weng — 'Extrinsic Hallucinations in LLMs' (blog) [External]
3. Interview Question Bank (your project file)</t>
  </si>
  <si>
    <t xml:space="preserve">1. Module 29 — L5 What is RAG (Shifting from Fine-Tuning to RAG)
2. Causes + 'Anti-hallucination methods' sections
3. §6 Walmart/Citi hallucination · Oracle &amp; Lam RAG vs fine-tuning</t>
  </si>
  <si>
    <t xml:space="preserve">LoRA / QLoRA &amp; quantization basics</t>
  </si>
  <si>
    <t xml:space="preserve">1. Hugging Face PEFT docs [External]
2. Hugging Face blog — '4-bit quantization and QLoRA' (bitsandbytes) [External]
3. Interview Question Bank (your project file)</t>
  </si>
  <si>
    <t xml:space="preserve">1. Conceptual guide 'LoRA'
2. Whole post
3. §6 Lam LoRA–SVD link · Qualcomm QLoRA pipeline · Fujitsu quantization</t>
  </si>
  <si>
    <t xml:space="preserve">Sebastian Raschka — 'Practical Tips for Finetuning LLMs Using LoRA' (blog) [External]</t>
  </si>
  <si>
    <t xml:space="preserve">Whole post (rank r, alpha, which layers)</t>
  </si>
  <si>
    <t xml:space="preserve">Not covered in your courses — external is the sufficient resource</t>
  </si>
  <si>
    <t xml:space="preserve">Case framework: goal → metric → data → baseline → eval → deploy &amp; monitor</t>
  </si>
  <si>
    <t xml:space="preserve">11. Case studies &amp; ML system design</t>
  </si>
  <si>
    <t xml:space="preserve">CampusX — Machine Learning Case Study (playlist, 2 videos)</t>
  </si>
  <si>
    <t xml:space="preserve">Both videos</t>
  </si>
  <si>
    <t xml:space="preserve">1. CampusX — Data Science Interview Preparation (playlist, 2 videos)
2. CampusX — Machine Learning Interview Questions (playlist, 22 videos)</t>
  </si>
  <si>
    <t xml:space="preserve">1. Both videos
2. Selective — case / scenario videos</t>
  </si>
  <si>
    <t xml:space="preserve">Case practice: fraud detection &amp; churn prediction</t>
  </si>
  <si>
    <t xml:space="preserve">§11 Mastercard fraud ×3 · ZS Associates fraud pipeline ×3 · Netradyne real-time issues · Airtel churn · Capital One unsubscribe reasons — write full answers using the framework</t>
  </si>
  <si>
    <t xml:space="preserve">Case practice: demand forecasting, metric drop &amp; A/B design</t>
  </si>
  <si>
    <t xml:space="preserve">§11 Intuit Flipkart next-day customers · Rapido acquisition · Rapido Zomato −15% (×2) · Rapido price-sensitive segments + A/B validation</t>
  </si>
  <si>
    <t xml:space="preserve">Sums of RVs, birthday problem, recursive puzzles</t>
  </si>
  <si>
    <t xml:space="preserve">Important</t>
  </si>
  <si>
    <t xml:space="preserve">1. Blitzstein &amp; Hwang — Introduction to Probability (free PDF, Harvard Stat 110) [External]
2. Interview Question Bank (your project file)</t>
  </si>
  <si>
    <t xml:space="preserve">1. Ch 8.2 Convolutions (X+Y) · Ch 1.6 birthday problem
2. §7 Intuit birthday 400/366 · Netradyne amoeba &amp; PDF of X+Y · Wells Fargo U+U &amp; dice game · Goldman A vs B dice</t>
  </si>
  <si>
    <t xml:space="preserve">Brainstellar — probability puzzles (website) [External]</t>
  </si>
  <si>
    <t xml:space="preserve">Easy + medium puzzles (first-step analysis)</t>
  </si>
  <si>
    <t xml:space="preserve">Chi-square &amp; ANOVA</t>
  </si>
  <si>
    <t xml:space="preserve">CampusX — Statistics for Machine Learning (course, 13 lessons)</t>
  </si>
  <si>
    <t xml:space="preserve">Chi-square &amp; ANOVA lessons</t>
  </si>
  <si>
    <t xml:space="preserve">Penn State STAT 500 — Applied Statistics (online notes) [External]</t>
  </si>
  <si>
    <t xml:space="preserve">Lesson 8 Chi-square test for independence · Lesson 10 One-way ANOVA</t>
  </si>
  <si>
    <t xml:space="preserve">Inverse-CDF sampling, unbiased estimators, correlation vs causation</t>
  </si>
  <si>
    <t xml:space="preserve">1. Blitzstein &amp; Hwang — Introduction to Probability (free PDF, Harvard Stat 110) [External]
2. StatQuest with Josh Starmer (YouTube) [External]
3. Interview Question Bank (your project file)</t>
  </si>
  <si>
    <t xml:space="preserve">1. Ch 5.3 Universality of the Uniform (inverse-CDF sampling)
2. 'Why Dividing By N Underestimates the Variance'
3. §7 Goldman sampling from CDF &amp; unbiased estimators · Netradyne regression vs correlation</t>
  </si>
  <si>
    <t xml:space="preserve">SPD matrices, rank &amp; null space; least squares &amp; normal equations</t>
  </si>
  <si>
    <t xml:space="preserve">1. CampusX — Linear Algebra for Machine Learning (playlist, 8 videos)
2. Stanford CS229 Lecture Notes — Andrew Ng (free PDF) [External]
3. Interview Question Bank (your project file)</t>
  </si>
  <si>
    <t xml:space="preserve">1. Rank / null space / positive-definite videos
2. Ch 1.2 The normal equations
3. §8 Intuit SPD (eigenvalues of A⁻¹) · Wells Fargo diagonalization f(A)</t>
  </si>
  <si>
    <t xml:space="preserve">1. 3Blue1Brown — Essence of Linear Algebra (YouTube) [External]
2. MIT 18.06 Linear Algebra — Gilbert Strang (OCW) [External]</t>
  </si>
  <si>
    <t xml:space="preserve">1. Ch 7 Inverse matrices, column space and null space
2. Lecture 15 Projections · Lecture 16 Least squares</t>
  </si>
  <si>
    <t xml:space="preserve">Lagrange multipliers (SVM dual); Newton's method idea</t>
  </si>
  <si>
    <t xml:space="preserve">1. Khan Academy — Multivariable calculus [External]
2. Stanford CS229 Lecture Notes — Andrew Ng (free PDF) [External]</t>
  </si>
  <si>
    <t xml:space="preserve">1. 'Lagrange multipliers, introduction' (+ example)
2. Ch 2 — Newton's method</t>
  </si>
  <si>
    <t xml:space="preserve">Ch 6 SVM — Lagrange duality section</t>
  </si>
  <si>
    <t xml:space="preserve">SVM: margins, hinge loss, dual, kernel trick</t>
  </si>
  <si>
    <t xml:space="preserve">1. #92 SVM Geometric Intuition · #93 Hard Margin maths · #94 Soft Margin · #95 Kernel Trick intuition · #96 Kernel Trick code
2. §1 SVM &amp; kernels — all 8 Qs</t>
  </si>
  <si>
    <t xml:space="preserve">1. CampusX — Support Vector Machines (SVM) (course, 7 lessons)
2. TuteDude — Generative AI course
3. Stanford CS229 Lecture Notes — Andrew Ng (free PDF) [External]</t>
  </si>
  <si>
    <t xml:space="preserve">1. Only if you want more depth
2. Module 12 — L30 Support Vector Machine
3. Ch 6 Support vector machines</t>
  </si>
  <si>
    <t xml:space="preserve">KNN &amp; Naive Bayes</t>
  </si>
  <si>
    <t xml:space="preserve">1. #91 K Nearest Neighbors · #87 NB Intuition · #88 Maths behind NB · #89 Example code · #90 Numerical data
2. §1 KNN, Naive Bayes, GDA, clustering — all 13 Qs</t>
  </si>
  <si>
    <t xml:space="preserve">Module 12 — L28 Naive Bayes · L29 K Nearest Neighbors</t>
  </si>
  <si>
    <t xml:space="preserve">K-means &amp; choosing k; GMM / EM basics</t>
  </si>
  <si>
    <t xml:space="preserve">1. CampusX — 100 Days of Machine Learning (YouTube playlist, 134 videos)
2. scikit-learn User Guide / examples [External]
3. Stanford CS229 Lecture Notes — Andrew Ng (free PDF) [External]</t>
  </si>
  <si>
    <t xml:space="preserve">1. #128 K-Means Geometric Intuition · #129 K-Means in Python
2. 'Selecting the number of clusters with silhouette analysis' · 2.1 Gaussian mixture models
3. 'Mixtures of Gaussians and the EM algorithm' notes (GMM not in your courses)</t>
  </si>
  <si>
    <t xml:space="preserve">Module 12 — L36 Unsupervised ML · L37 K Means Clustering</t>
  </si>
  <si>
    <t xml:space="preserve">PCA: derivation, limitations, PCA vs autoencoder</t>
  </si>
  <si>
    <t xml:space="preserve">1. #46 Curse of Dimensionality · #47 PCA Geometric Intuition · #48 Problem Formulation · #49 Code &amp; Visualization
2. Lecture 7 — M2 Link between PCA and autoencoders
3. §1 Dimensionality reduction — all 5 Qs</t>
  </si>
  <si>
    <t xml:space="preserve">Lecture 6 — M5–M8 (PCA interpretations, SVD) — revise</t>
  </si>
  <si>
    <t xml:space="preserve">Recommenders: collaborative filtering, matrix factorization, cold start</t>
  </si>
  <si>
    <t xml:space="preserve">1. Google for Developers — Recommendation Systems course (free) [External]
2. Interview Question Bank (your project file)</t>
  </si>
  <si>
    <t xml:space="preserve">1. Candidate Generation: content-based · collaborative filtering · matrix factorization
2. §1 Recommendation systems — all 7 Qs</t>
  </si>
  <si>
    <t xml:space="preserve">Module 13 — L6–L10 Recommendation System project</t>
  </si>
  <si>
    <t xml:space="preserve">Hyperparameter tuning &amp; AdaBoost</t>
  </si>
  <si>
    <t xml:space="preserve">#112 GridSearchCV &amp; RandomizedSearchCV · #134 Optuna · #115 AdaBoost Intuition · #116 AdaBoost Step by Step</t>
  </si>
  <si>
    <t xml:space="preserve">#111 RF Hyperparameters · #117 AdaBoost code · #118 AdaBoost Hyperparameters</t>
  </si>
  <si>
    <t xml:space="preserve">Time series: trend, seasonality, lags, time split, ARIMA intuition</t>
  </si>
  <si>
    <t xml:space="preserve">1. CampusX — 100 Days of Machine Learning (YouTube playlist, 134 videos)
2. Hyndman &amp; Athanasopoulos — Forecasting: Principles and Practice, 3rd ed. (free online) [External]
3. scikit-learn User Guide / examples [External]
4. Interview Question Bank (your project file)</t>
  </si>
  <si>
    <t xml:space="preserve">1. #34 Handling Date and Time Variables
2. Ch 2 Time series graphics · Ch 7.4 Useful predictors (lags, dummies) · Ch 9.1–9.5 ARIMA (intuition only)
3. TimeSeriesSplit (time-based train/test split)
4. §11 Intuit forecasting Qs — lag variables, seasonality, call-centre calls per day</t>
  </si>
  <si>
    <t xml:space="preserve">Macro vs weighted F1, log-loss, calibration; MAPE / SMAPE</t>
  </si>
  <si>
    <t xml:space="preserve">1. scikit-learn User Guide / examples [External]
2. Hyndman &amp; Athanasopoulos — Forecasting: Principles and Practice, 3rd ed. (free online) [External]</t>
  </si>
  <si>
    <t xml:space="preserve">1. 3.4 Metrics — 'From binary to multiclass and multilabel' &amp; 'Log loss' · 1.16 Probability calibration
2. Ch 5.8 Evaluating point forecast accuracy (MAPE, sMAPE)</t>
  </si>
  <si>
    <t xml:space="preserve">Xavier / He initialization; learning-rate schedules</t>
  </si>
  <si>
    <t xml:space="preserve">1. Mitesh M. Khapra — CS7015 Deep Learning, IIT Madras (YouTube videos + slides)
2. Stanford CS231n notes — Neural Networks Part 3 [External]</t>
  </si>
  <si>
    <t xml:space="preserve">1. Lecture 9 — M4 Better weight initialization
2. 'Annealing the learning rate' section</t>
  </si>
  <si>
    <t xml:space="preserve">Videos on 'Weight Initialization Techniques' (Xavier / He)</t>
  </si>
  <si>
    <t xml:space="preserve">KL divergence; generative vs discriminative; why NNs are non-convex</t>
  </si>
  <si>
    <t xml:space="preserve">1. Goodfellow, Bengio &amp; Courville — Deep Learning book (free online) [External]
2. Stanford CS229 Lecture Notes — Andrew Ng (free PDF) [External]
3. Interview Question Bank (your project file)</t>
  </si>
  <si>
    <t xml:space="preserve">1. §3.13 Information Theory (entropy, cross-entropy, KL) · §8.2 Challenges in NN optimization
2. Ch 4 Generative learning algorithms — intro
3. §3 InMobi convex vs non-convex · MAIG KL divergence</t>
  </si>
  <si>
    <t xml:space="preserve">Autoencoder vs VAE</t>
  </si>
  <si>
    <t xml:space="preserve">1. Mitesh M. Khapra — CS7015 Deep Learning, IIT Madras (YouTube videos + slides)
2. Lilian Weng — 'From Autoencoder to Beta-VAE' (blog) [External]
3. Interview Question Bank (your project file)</t>
  </si>
  <si>
    <t xml:space="preserve">1. Lecture 7 — M1–M6 (autoencoders, regularization, denoising, sparse, contractive)
2. Sections: Autoencoder · VAE · Loss function (ELBO)
3. §3 MAIG AE vs VAE · OLA VAE for fraud</t>
  </si>
  <si>
    <t xml:space="preserve">Lecture 21 slides — Variational autoencoders</t>
  </si>
  <si>
    <t xml:space="preserve">BERT vs GPT; BPE tokenization</t>
  </si>
  <si>
    <t xml:space="preserve">1. TuteDude — Generative AI course
2. Jay Alammar — 'The Illustrated GPT-2' (blog) [External]
3. Interview Question Bank (your project file)</t>
  </si>
  <si>
    <t xml:space="preserve">1. Module 24 — L2 TikTokenizer &amp; Tokenization
2. Parts 1–2
3. §5 Airtel BERT NSP &amp; MLM · Fujitsu 'why GPT is autoregressive'</t>
  </si>
  <si>
    <t xml:space="preserve">1. TuteDude — Generative AI course
2. Hugging Face — NLP Course [External]</t>
  </si>
  <si>
    <t xml:space="preserve">1. Module 24 — L11–L14 (transfer learning, LM task, LLMs, ChatGPT)
2. Ch 6 'Byte-Pair Encoding tokenization'</t>
  </si>
  <si>
    <t xml:space="preserve">Seq2seq + Bahdanau attention, GRU; sinusoidal PE &amp; RoPE</t>
  </si>
  <si>
    <t xml:space="preserve">1. Mitesh M. Khapra — CS7015 Deep Learning, IIT Madras (YouTube videos + slides)
2. CampusX — 100 Days of Deep Learning (YouTube playlist, 84 videos)
3. EleutherAI blog — 'Rotary Embeddings: A Relative Revolution' [External]
4. Interview Question Bank (your project file)</t>
  </si>
  <si>
    <t xml:space="preserve">1. Lecture 16 — M4–M5 (attention over images, hierarchical) — and revise L15 GRU
2. Video 'Positional Encoding in Transformers'
3. Intuition section only
4. §5 MAIG sinusoidal PE · Cerebras RoPE</t>
  </si>
  <si>
    <t xml:space="preserve">Module 21 — L4–L5 GRU · Module 24 — L8–L9</t>
  </si>
  <si>
    <t xml:space="preserve">BLEU / ROUGE (only if NLP is on your resume)</t>
  </si>
  <si>
    <t xml:space="preserve">Hugging Face — NLP Course [External]</t>
  </si>
  <si>
    <t xml:space="preserve">Ch 7 'Translation' (BLEU) · 'Summarization' (ROUGE)</t>
  </si>
  <si>
    <t xml:space="preserve">Transfer learning &amp; augmentation; GAN basics</t>
  </si>
  <si>
    <t xml:space="preserve">1. CampusX — 100 Days of Deep Learning (YouTube playlist, 84 videos)
2. CampusX — Generative Adversarial Networks (GANs) (playlist, 1 video)</t>
  </si>
  <si>
    <t xml:space="preserve">1. Videos 'Data Augmentation in CNN', 'Pretrained models', 'Transfer Learning'
2. The single video</t>
  </si>
  <si>
    <t xml:space="preserve">1. TuteDude — Generative AI course
2. Mitesh M. Khapra — CS7015 Deep Learning, IIT Madras (YouTube videos + slides)</t>
  </si>
  <si>
    <t xml:space="preserve">1. Module 18 — L1–L4 Pre-trained models &amp; transfer learning
2. Lecture 23 slides — GANs</t>
  </si>
  <si>
    <t xml:space="preserve">U-Net &amp; segmentation losses; ViT (patches, CLS token)</t>
  </si>
  <si>
    <t xml:space="preserve">1. Ronneberger et al. — 'U-Net' paper (2015) [External]
2. Jeremy Jordan — 'An overview of semantic image segmentation' (blog) [External]
3. Dosovitskiy et al. — 'An Image is Worth 16x16 Words' (ViT paper) [External]
4. Interview Question Bank (your project file)</t>
  </si>
  <si>
    <t xml:space="preserve">1. Fig. 1 + §2 Network architecture
2. U-Net section + 'Defining a loss function'
3. Fig. 1 + §3.1
4. §4 Netradyne Dice+BCE · MAIG Dice vs IoU · U-Net Qs · OLA/Meesho/Fujitsu ViT Qs</t>
  </si>
  <si>
    <t xml:space="preserve">RAG evaluation; KV cache; temperature / top-k / top-p</t>
  </si>
  <si>
    <t xml:space="preserve">1. CampusX — LLM Evaluation (playlist, 19 videos)
2. Hugging Face blog — 'KV Caching Explained' [External]
3. Hugging Face blog — 'How to generate text: different decoding methods' [External]</t>
  </si>
  <si>
    <t xml:space="preserve">1. Only the RAG-evaluation videos
2. Whole post
3. Greedy · beam · sampling · temperature · top-k · top-p</t>
  </si>
  <si>
    <t xml:space="preserve">Ragas documentation [External]</t>
  </si>
  <si>
    <t xml:space="preserve">Metrics: faithfulness · answer relevancy · context precision / recall</t>
  </si>
  <si>
    <t xml:space="preserve">Agents vs tools; LangChain basics</t>
  </si>
  <si>
    <t xml:space="preserve">1. TuteDude — Generative AI course
2. Interview Question Bank (your project file)</t>
  </si>
  <si>
    <t xml:space="preserve">1. Module 35 — L1 Tools · L5 What is an AI agent · L6 Creating an agent · L7 ReAct agent
2. §6 Tecnod8 agents vs tools · Citi agent problems</t>
  </si>
  <si>
    <t xml:space="preserve">1. TuteDude — Generative AI course
2. CampusX — Generative AI using LangChain (course, 21 lessons)</t>
  </si>
  <si>
    <t xml:space="preserve">1. Module 28 — L1–L4 LangChain components · Module 35 — L2–L4
2. Selective: intro, components, chains, agents</t>
  </si>
  <si>
    <t xml:space="preserve">RLHF at a high level; catastrophic forgetting</t>
  </si>
  <si>
    <t xml:space="preserve">1. Module 25 — L3 ChatGPT Training Initial Steps · L4 Final RLHF Step
2. §6 Walmart RLHF &amp; fine-tuning failure modes · Lam catastrophic forgetting</t>
  </si>
  <si>
    <t xml:space="preserve">Hugging Face blog — 'Illustrating RLHF' [External]</t>
  </si>
  <si>
    <t xml:space="preserve">Whole post</t>
  </si>
  <si>
    <t xml:space="preserve">Guesstimates, profit / runway arithmetic</t>
  </si>
  <si>
    <t xml:space="preserve">1. Taylor Warfield — Hacking the Case Interview (book) [External]
2. Interview Question Bank (your project file)</t>
  </si>
  <si>
    <t xml:space="preserve">1. Market sizing chapter · Profitability framework chapter
2. §11 Capital One TV channel, harvester, gaming, ad-position cases · Citi PepsiCo plant</t>
  </si>
  <si>
    <t xml:space="preserve">Recommender &amp; LLM/RAG product design; forecasting case drill</t>
  </si>
  <si>
    <t xml:space="preserve">§11 Flipkart hotels · Walmart LLM categorisation · Intuit tax LLM tool · InMobi agentic app · Intuit call-centre calls per day + lag order</t>
  </si>
  <si>
    <t xml:space="preserve">Hyndman &amp; Athanasopoulos — Forecasting: Principles and Practice, 3rd ed. (free online) [External]</t>
  </si>
  <si>
    <t xml:space="preserve">Ch 7.4 Useful predictors (holiday &amp; seasonal dummies) — revise</t>
  </si>
  <si>
    <t xml:space="preserve">Latency, drift &amp; retraining</t>
  </si>
  <si>
    <t xml:space="preserve">Chip Huyen — Designing Machine Learning Systems (O'Reilly) [External]</t>
  </si>
  <si>
    <t xml:space="preserve">Ch 8 Data Distribution Shifts and Monitoring</t>
  </si>
  <si>
    <t xml:space="preserve">Placement Prep — Coding, day-wise (13 Oct–3 Nov · Must + Important)</t>
  </si>
  <si>
    <t xml:space="preserve">Sorted by date. Every day has two tracks: (1) DSA / SQL practice — LeetCode or SQL problems EVERY day; (2) ML / DL coding &amp; projects. SUFFICIENT = must-do; ADD-ON = optional extra.</t>
  </si>
  <si>
    <t xml:space="preserve">Method for every problem: say inputs &amp; edge cases → brute force + complexity → optimise → dry-run one example aloud. CWH Python = 11-hr one-shot (timestamps). DSA with Python = your timestamped DSA video.</t>
  </si>
  <si>
    <t xml:space="preserve">Red [External] = not in your project files. LeetCode numbers in brackets; premium Meeting Rooms → free LintCode copies. Est. hrs = sufficient part only; edit and the 'Daily load' tab updates.</t>
  </si>
  <si>
    <t xml:space="preserve">Track</t>
  </si>
  <si>
    <t xml:space="preserve">DSA / SQL practice</t>
  </si>
  <si>
    <t xml:space="preserve">Complexity analysis + Arrays &amp; hashing (set 1)</t>
  </si>
  <si>
    <t xml:space="preserve">9. DSA — Python &amp; complexity</t>
  </si>
  <si>
    <t xml:space="preserve">1. DSA with Python — one-shot video (your project file, timestamps)
2. LeetCode / NeetCode 150 (Python) [External]</t>
  </si>
  <si>
    <t xml:space="preserve">1. 04:39–01:32:29 — algorithmic complexity · order of growth · complexity classes · practice Qs
2. Two Sum (1) · Contains Duplicate (217) · Valid Anagram (242)</t>
  </si>
  <si>
    <t xml:space="preserve">DSA with Python — one-shot video (your project file, timestamps)</t>
  </si>
  <si>
    <t xml:space="preserve">01:32:29–02:49:52 Arrays &amp; dynamic arrays (build your own list)</t>
  </si>
  <si>
    <t xml:space="preserve">ML / DL coding &amp; projects</t>
  </si>
  <si>
    <t xml:space="preserve">Python fluency (part 1): basics → dicts &amp; sets</t>
  </si>
  <si>
    <t xml:space="preserve">9. Python fluency</t>
  </si>
  <si>
    <t xml:space="preserve">CodeWithHarry — Python Tutorial for Beginners (11-hr one-shot, YouTube)</t>
  </si>
  <si>
    <t xml:space="preserve">Ch 0–5 (00:00–03:09:41): modules &amp; pip, variables, strings, lists &amp; tuples, dictionaries &amp; sets — at 1.5×, do the practice sets</t>
  </si>
  <si>
    <t xml:space="preserve">1. CodeWithHarry — The Ultimate Job Ready Data Science Course
2. TuteDude — Generative AI course</t>
  </si>
  <si>
    <t xml:space="preserve">1. §3 Python Refresher (quick recap)
2. Module 4 — L1–L12 + Assignment A1</t>
  </si>
  <si>
    <t xml:space="preserve">Python fluency (part 2): conditionals, loops, functions, file I/O</t>
  </si>
  <si>
    <t xml:space="preserve">Ch 6–9 (03:09:41–06:42:22) — at 1.5×, do the practice sets</t>
  </si>
  <si>
    <t xml:space="preserve">Module 4 — L13–L25 + Assignments A2–A4</t>
  </si>
  <si>
    <t xml:space="preserve">Arrays &amp; hashing (set 2)</t>
  </si>
  <si>
    <t xml:space="preserve">9. DSA — patterns</t>
  </si>
  <si>
    <t xml:space="preserve">LeetCode / NeetCode 150 (Python) [External]</t>
  </si>
  <si>
    <t xml:space="preserve">Group Anagrams (49) · Top K Frequent Elements (347) · Product of Array Except Self (238)</t>
  </si>
  <si>
    <t xml:space="preserve">06:46:14–09:24:04 Hashing — collisions, linear probing, chaining</t>
  </si>
  <si>
    <t xml:space="preserve">Python fluency (part 3): advanced Python</t>
  </si>
  <si>
    <t xml:space="preserve">Ch 12–13 (08:15:38–09:30:22): comprehensions, lambda/map/filter, f-strings, etc.</t>
  </si>
  <si>
    <t xml:space="preserve">1. §3 — 'List comprehensions', 'Lambda functions', 'JSON module'
2. Module 4 — L21–L23, L29 + Assignment A6</t>
  </si>
  <si>
    <t xml:space="preserve">PMF sampling, shuffling, simulations</t>
  </si>
  <si>
    <t xml:space="preserve">9. ML from scratch</t>
  </si>
  <si>
    <t xml:space="preserve">1. Interview Question Bank (your project file)
2. LeetCode [External]</t>
  </si>
  <si>
    <t xml:space="preserve">1. §9 Intuit simulate(prob_dict) without NumPy · Intuit in-place shuffle · OLA fair die · Intuit simulate π · Netradyne cointoss → [a,b]
2. Shuffle an Array (384) — Fisher–Yates</t>
  </si>
  <si>
    <t xml:space="preserve">Two pointers</t>
  </si>
  <si>
    <t xml:space="preserve">Valid Palindrome (125) · Two Sum II (167) · 3Sum (15) · Container With Most Water (11) · Sort Colors (75)</t>
  </si>
  <si>
    <t xml:space="preserve">NumPy: indexing, axis, broadcasting, vectorized maths</t>
  </si>
  <si>
    <t xml:space="preserve">9. NumPy &amp; Pandas (live notebook)</t>
  </si>
  <si>
    <t xml:space="preserve">CodeWithHarry — The Ultimate Job Ready Data Science Course</t>
  </si>
  <si>
    <t xml:space="preserve">§7 Data Analysis using NumPy — all 7 lectures (87 min) — code along</t>
  </si>
  <si>
    <t xml:space="preserve">Module 7 — NumPy (4 lectures) + Assignment A9</t>
  </si>
  <si>
    <t xml:space="preserve">SQL basics: create, select, update, constraints</t>
  </si>
  <si>
    <t xml:space="preserve">10. SQL</t>
  </si>
  <si>
    <t xml:space="preserve">1. CodeWithHarry — The Ultimate Job Ready Data Science Course
2. LeetCode — SQL 50 study plan [External]</t>
  </si>
  <si>
    <t xml:space="preserve">1. §11 SQL for Data Science — L1–L12 (intro, MySQL, create DB/table, insert, select, update, delete, transactions, constraints)
2. 'Select' group (5 problems)</t>
  </si>
  <si>
    <t xml:space="preserve">CampusX — SQL for Data Science (course, 6 lessons)</t>
  </si>
  <si>
    <t xml:space="preserve">Alternative / revision</t>
  </si>
  <si>
    <t xml:space="preserve">Pandas: filtering, groupby, merges, pivot</t>
  </si>
  <si>
    <t xml:space="preserve">§8 Data Analysis using Pandas — all 10 lectures (127 min) — code along</t>
  </si>
  <si>
    <t xml:space="preserve">1. TuteDude — Generative AI course
2. CampusX — Pandas (course, 21 lessons)</t>
  </si>
  <si>
    <t xml:space="preserve">1. Module 8 — L1–L9 + Assignment A10
2. Groupby &amp; merge lessons only</t>
  </si>
  <si>
    <t xml:space="preserve">Visualisation: Matplotlib &amp; Seaborn</t>
  </si>
  <si>
    <t xml:space="preserve">§9 Data Visualization — all 10 lectures (137 min) — at 1.5×</t>
  </si>
  <si>
    <t xml:space="preserve">Module 9 Matplotlib · Module 10 Seaborn</t>
  </si>
  <si>
    <t xml:space="preserve">Sliding window (set 1)</t>
  </si>
  <si>
    <t xml:space="preserve">Best Time to Buy &amp; Sell Stock (121) · Longest Substring Without Repeating Characters (3) · Longest Repeating Character Replacement (424)</t>
  </si>
  <si>
    <t xml:space="preserve">End-to-end sklearn workflow (part 1)</t>
  </si>
  <si>
    <t xml:space="preserve">Applied ML (scikit-learn)</t>
  </si>
  <si>
    <t xml:space="preserve">§16 Practical ML using Scikit-learn — L1–L10 (Iris, house prices, EDA, test set, stratified split, missing data)</t>
  </si>
  <si>
    <t xml:space="preserve">Module 12 — L33–L35 Building a Demo ML Model 1–3</t>
  </si>
  <si>
    <t xml:space="preserve">End-to-end sklearn workflow (part 2)</t>
  </si>
  <si>
    <t xml:space="preserve">§16 — L11–L20 (sklearn design, categorical, scaling, pipelines, ColumnTransformer, joblib)</t>
  </si>
  <si>
    <t xml:space="preserve">Joins</t>
  </si>
  <si>
    <t xml:space="preserve">1. §11 — L13 Foreign Keys · L14 Joins · L15 UNION
2. 'Basic Joins' group (9 problems)</t>
  </si>
  <si>
    <t xml:space="preserve">Sliding window &amp; prefix sums (set 2)</t>
  </si>
  <si>
    <t xml:space="preserve">Permutation in String (567) · Maximum Subarray / Kadane (53) · Range Sum Query – Immutable (303) · Subarray Sum Equals K (560)</t>
  </si>
  <si>
    <t xml:space="preserve">Linear regression from scratch (closed form + GD) in NumPy</t>
  </si>
  <si>
    <t xml:space="preserve">Re-code #51 / #55 / #58 yourself without looking — closed form and batch GD; match sklearn coefficients</t>
  </si>
  <si>
    <t xml:space="preserve">Observe.AI &amp; Oracle asked exactly this</t>
  </si>
  <si>
    <t xml:space="preserve">GROUP BY / HAVING &amp; aggregates</t>
  </si>
  <si>
    <t xml:space="preserve">1. §11 — L16 Functions · L20 GROUP BY
2. 'Basic Aggregate Functions' (8) · 'Sorting and Grouping' — first 3</t>
  </si>
  <si>
    <t xml:space="preserve">Stacks &amp; queues</t>
  </si>
  <si>
    <t xml:space="preserve">Valid Parentheses (20) · Min Stack (155) · Daily Temperatures (739)</t>
  </si>
  <si>
    <t xml:space="preserve">05:06:27–06:46:14 — stack, bracket problem, celebrity problem, queue using 2 stacks</t>
  </si>
  <si>
    <t xml:space="preserve">Logistic regression from scratch</t>
  </si>
  <si>
    <t xml:space="preserve">#75 Logistic Regression Part 5 — GD &amp; code from scratch (re-code yourself)</t>
  </si>
  <si>
    <t xml:space="preserve">Subqueries &amp; advanced joins</t>
  </si>
  <si>
    <t xml:space="preserve">1. §11 — L19 Subqueries
2. 'Sorting and Grouping' — remaining 4 · 'Advanced Select and Joins' (7)</t>
  </si>
  <si>
    <t xml:space="preserve">Fraud notebook: imbalance, PR-AUC, threshold, XGBoost</t>
  </si>
  <si>
    <t xml:space="preserve">Kaggle — 'Credit Card Fraud Detection' dataset (mlg-ulb/creditcardfraud) [External]</t>
  </si>
  <si>
    <t xml:space="preserve">Pipeline · class_weight vs SMOTE · RF vs XGBoost · PR-AUC · threshold tuning</t>
  </si>
  <si>
    <t xml:space="preserve">Churn notebook: EDA + logistic baseline + metrics</t>
  </si>
  <si>
    <t xml:space="preserve">Kaggle — 'Telco Customer Churn' dataset (blastchar) [External]</t>
  </si>
  <si>
    <t xml:space="preserve">EDA + logistic regression baseline + confusion matrix, PR-AUC</t>
  </si>
  <si>
    <t xml:space="preserve">Sorting &amp; binary search (incl. rotated array)</t>
  </si>
  <si>
    <t xml:space="preserve">1. 09:28:11 Binary Search · 10:57:11 Merge Sort
2. Binary Search (704) · Search in Rotated Sorted Array (33) · Find Minimum in Rotated Sorted Array (153)</t>
  </si>
  <si>
    <t xml:space="preserve">09:41:23–10:57:11 Bubble &amp; Selection sort</t>
  </si>
  <si>
    <t xml:space="preserve">K-means from scratch; stable softmax</t>
  </si>
  <si>
    <t xml:space="preserve">1. CampusX — 100 Days of Machine Learning (YouTube playlist, 134 videos)
2. Stanford CS231n notes — Linear Classification [External]</t>
  </si>
  <si>
    <t xml:space="preserve">1. #130 K-Means Clustering From Scratch in Python
2. 'Practical issues: Numeric stability' (subtract max) — code it</t>
  </si>
  <si>
    <t xml:space="preserve">PyTorch basics (part 1): tensors, autograd, training pipeline</t>
  </si>
  <si>
    <t xml:space="preserve">DL coding (PyTorch)</t>
  </si>
  <si>
    <t xml:space="preserve">CampusX — Practical Deep Learning using PyTorch (course, 14 lessons)</t>
  </si>
  <si>
    <t xml:space="preserve">Lessons 1–4 (tensors → autograd → training pipeline → nn.Module)</t>
  </si>
  <si>
    <t xml:space="preserve">PyTorch — 'Learn the Basics' tutorial (pytorch.org) [External]</t>
  </si>
  <si>
    <t xml:space="preserve">Pages 1–4</t>
  </si>
  <si>
    <t xml:space="preserve">Binary search on answer</t>
  </si>
  <si>
    <t xml:space="preserve">Search a 2D Matrix (74) · Koko Eating Bananas (875)</t>
  </si>
  <si>
    <t xml:space="preserve">PyTorch basics (part 2): Dataset / DataLoader, ANN</t>
  </si>
  <si>
    <t xml:space="preserve">Lessons 5–7 (Dataset &amp; DataLoader → ANN → optimisation)</t>
  </si>
  <si>
    <t xml:space="preserve">1. PyTorch — 'Learn the Basics' tutorial (pytorch.org) [External]
2. TuteDude — Generative AI course</t>
  </si>
  <si>
    <t xml:space="preserve">1. Pages 5–8
2. Module 17 — L1–L9 ANN project in Keras (optional comparison)</t>
  </si>
  <si>
    <t xml:space="preserve">FNN forward / backward in NumPy (2 hidden layers)</t>
  </si>
  <si>
    <t xml:space="preserve">Lecture 4 backprop equations → implement for 2 hidden layers; then the same net in PyTorch (Oracle question)</t>
  </si>
  <si>
    <t xml:space="preserve">Video 'Backpropagation Part 2 – The How' (code-along)</t>
  </si>
  <si>
    <t xml:space="preserve">SQL subqueries &amp; string functions</t>
  </si>
  <si>
    <t xml:space="preserve">LeetCode — SQL 50 study plan [External]</t>
  </si>
  <si>
    <t xml:space="preserve">'Subqueries' (7) · 'Advanced String Functions / Regex / Clause' (7)</t>
  </si>
  <si>
    <t xml:space="preserve">Text cleaning, BoW / TF-IDF, Word2Vec</t>
  </si>
  <si>
    <t xml:space="preserve">NLP coding</t>
  </si>
  <si>
    <t xml:space="preserve">Module 13 — Assignments A17–A19 (use L12–L20 notebooks as reference)</t>
  </si>
  <si>
    <t xml:space="preserve">Module 13 — L12–L20 lectures (watch only where stuck)</t>
  </si>
  <si>
    <t xml:space="preserve">LSTM next-word prediction</t>
  </si>
  <si>
    <t xml:space="preserve">Module 22 — L1–L4 LSTM next-word prediction (tokenization → model)</t>
  </si>
  <si>
    <t xml:space="preserve">Module 20 — L1–L6 Simple RNN project (embedding layer)</t>
  </si>
  <si>
    <t xml:space="preserve">Linked lists (set 1)</t>
  </si>
  <si>
    <t xml:space="preserve">Reverse Linked List (206) · Merge Two Sorted Lists (21) · Middle of the Linked List (876)</t>
  </si>
  <si>
    <t xml:space="preserve">02:49:52–05:06:27 — node, insert/delete, traversal, in-place reversal</t>
  </si>
  <si>
    <t xml:space="preserve">Linked lists (set 2)</t>
  </si>
  <si>
    <t xml:space="preserve">Linked List Cycle (141) · Remove Nth Node From End (19) · Add Two Numbers (2)</t>
  </si>
  <si>
    <t xml:space="preserve">Self-attention in PyTorch (single → multi-head → causal mask)</t>
  </si>
  <si>
    <t xml:space="preserve">Andrej Karpathy — 'Let's build GPT: from scratch, in code, spelled out' (YouTube) [External]</t>
  </si>
  <si>
    <t xml:space="preserve">First ~60 min, then re-code self-attention unit on your own</t>
  </si>
  <si>
    <t xml:space="preserve">Cerebras &amp; OLA asked live</t>
  </si>
  <si>
    <t xml:space="preserve">Window functions</t>
  </si>
  <si>
    <t xml:space="preserve">1. CampusX — SQL Interview Questions (playlist, 1 video)
2. Mode — SQL Tutorial [External]
3. LeetCode [External]</t>
  </si>
  <si>
    <t xml:space="preserve">1. The single video
2. 'SQL Window Functions' page
3. Second Highest Salary (176) · Rank Scores (178)</t>
  </si>
  <si>
    <t xml:space="preserve">Intervals</t>
  </si>
  <si>
    <t xml:space="preserve">Merge Intervals (56) · Insert Interval (57) · Non-overlapping Intervals (435)</t>
  </si>
  <si>
    <t xml:space="preserve">CNNs &amp; transfer learning in PyTorch</t>
  </si>
  <si>
    <t xml:space="preserve">CV coding (projects)</t>
  </si>
  <si>
    <t xml:space="preserve">CNN lesson + transfer-learning lesson</t>
  </si>
  <si>
    <t xml:space="preserve">CampusX — Image Processing Using OpenCV (playlist, 13 videos)</t>
  </si>
  <si>
    <t xml:space="preserve">Selective — resizing, flipping, blurring (Razorpay asked)</t>
  </si>
  <si>
    <t xml:space="preserve">Window functions (practice)</t>
  </si>
  <si>
    <t xml:space="preserve">LeetCode [External]</t>
  </si>
  <si>
    <t xml:space="preserve">Consecutive Numbers (180) · Department Top Three Salaries (185)</t>
  </si>
  <si>
    <t xml:space="preserve">Trees: traversals (set 1)</t>
  </si>
  <si>
    <t xml:space="preserve">Max Depth (104) · Invert Tree (226) · Inorder Traversal (94) · Level Order (102)</t>
  </si>
  <si>
    <t xml:space="preserve">CampusX — Binary Search Tree (playlist, 1 video)</t>
  </si>
  <si>
    <t xml:space="preserve">The single video</t>
  </si>
  <si>
    <t xml:space="preserve">Project 1 — CIFAR-10 (part 1): baseline CNN + augmentation</t>
  </si>
  <si>
    <t xml:space="preserve">PyTorch tutorial — 'Training a Classifier' (CIFAR-10) [External]</t>
  </si>
  <si>
    <t xml:space="preserve">Baseline CNN (conv → BN → ReLU → pool), augmentation</t>
  </si>
  <si>
    <t xml:space="preserve">Project 1 — CIFAR-10 (part 2): ResNet-18 transfer learning + README</t>
  </si>
  <si>
    <t xml:space="preserve">PyTorch tutorial — 'Transfer Learning for Computer Vision' [External]</t>
  </si>
  <si>
    <t xml:space="preserve">Fine-tune ResNet-18; compare accuracy, params, time; README + GitHub</t>
  </si>
  <si>
    <t xml:space="preserve">Trees (set 2)</t>
  </si>
  <si>
    <t xml:space="preserve">Same Tree (100) · LCA of BST (235) · Path Sum III (437)</t>
  </si>
  <si>
    <t xml:space="preserve">Build a RAG app (part 1): transcribe, chunk, embed</t>
  </si>
  <si>
    <t xml:space="preserve">RAG coding</t>
  </si>
  <si>
    <t xml:space="preserve">§23 Project 3 – RAG based AI Teaching Assistant — L1–L10</t>
  </si>
  <si>
    <t xml:space="preserve">Module 29 — L6 YouTube Content Chatbot (RAG) + Assignment A23</t>
  </si>
  <si>
    <t xml:space="preserve">Build a RAG app (part 2): retrieve, prompt, LLM, improve chunks</t>
  </si>
  <si>
    <t xml:space="preserve">§23 — L11–L16 + Bonus 1–4 (improving chunks / embeddings)</t>
  </si>
  <si>
    <t xml:space="preserve">Module 33 — RAG Document Q&amp;A with Groq &amp; Llama3 + Assignment A30</t>
  </si>
  <si>
    <t xml:space="preserve">Graphs: grid BFS / DFS (set 1)</t>
  </si>
  <si>
    <t xml:space="preserve">Number of Islands (200) · Max Area of Island (695) · Rotting Oranges (994)</t>
  </si>
  <si>
    <t xml:space="preserve">Graphs (set 2)</t>
  </si>
  <si>
    <t xml:space="preserve">Clone Graph (133) · Course Schedule (207)</t>
  </si>
  <si>
    <t xml:space="preserve">Inverse-CDF sampling &amp; birthday simulation</t>
  </si>
  <si>
    <t xml:space="preserve">§7 Goldman sampling from a CDF — code inverse-CDF for exponential; simulate the birthday problem</t>
  </si>
  <si>
    <t xml:space="preserve">SVM kernels, KNN, NB, k-means in sklearn</t>
  </si>
  <si>
    <t xml:space="preserve">#96 Kernel trick code example · #129 K-Means in Python — then try KNN &amp; NB on the same data</t>
  </si>
  <si>
    <t xml:space="preserve">Basic Git</t>
  </si>
  <si>
    <t xml:space="preserve">10. CS basics (Git, OOP, REST, DBMS, OS)</t>
  </si>
  <si>
    <t xml:space="preserve">§21 Git for Data Scientists — L1–L14 (workflow, commits, branches, merge conflicts, GitHub, .gitignore, stash)</t>
  </si>
  <si>
    <t xml:space="preserve">CampusX — Git and Github (playlist, 3 videos)</t>
  </si>
  <si>
    <t xml:space="preserve">Quick revision</t>
  </si>
  <si>
    <t xml:space="preserve">Heaps</t>
  </si>
  <si>
    <t xml:space="preserve">Kth Largest Element (215) · Last Stone Weight (1046) · K Closest Points (973) · Find Median from Data Stream (295)</t>
  </si>
  <si>
    <t xml:space="preserve">PCA from scratch (eigen / SVD)</t>
  </si>
  <si>
    <t xml:space="preserve">#49 PCA code example — then write your own eigen / SVD version and match sklearn</t>
  </si>
  <si>
    <t xml:space="preserve">DP basics (set 1)</t>
  </si>
  <si>
    <t xml:space="preserve">Climbing Stairs (70) · House Robber (198) · Unique Paths (62)</t>
  </si>
  <si>
    <t xml:space="preserve">OOP in Python</t>
  </si>
  <si>
    <t xml:space="preserve">Ch 10–11 (06:42:22–08:08:45): OOP, inheritance &amp; more on OOP</t>
  </si>
  <si>
    <t xml:space="preserve">Module 5 — L1–L8 (inheritance, polymorphism, encapsulation, magic methods)</t>
  </si>
  <si>
    <t xml:space="preserve">Time-series features in pandas</t>
  </si>
  <si>
    <t xml:space="preserve">#34 Handling Date and Time Variables — then build lag / rolling features with shift &amp; rolling, TimeSeriesSplit</t>
  </si>
  <si>
    <t xml:space="preserve">Matrix-factorization recommender with SGD</t>
  </si>
  <si>
    <t xml:space="preserve">Module 13 — L6–L11 Recommendation System project (build MF with SGD alongside)</t>
  </si>
  <si>
    <t xml:space="preserve">DP basics (set 2)</t>
  </si>
  <si>
    <t xml:space="preserve">Coin Change (322) · Longest Increasing Subsequence (300) · Knight Probability in Chessboard (688) — Intuit asked this</t>
  </si>
  <si>
    <t xml:space="preserve">Project 2 — U-Net segmentation (part 1): data + model</t>
  </si>
  <si>
    <t xml:space="preserve">Kaggle — '2018 Data Science Bowl' (nuclei) or ISIC 2018 Task 1 [External]</t>
  </si>
  <si>
    <t xml:space="preserve">Dataset + masks; implement U-Net (paper Fig. 1) in PyTorch</t>
  </si>
  <si>
    <t xml:space="preserve">Project 2 — U-Net (part 2): Dice + BCE, IoU, compare</t>
  </si>
  <si>
    <t xml:space="preserve">Ronneberger et al. — U-Net paper [External]</t>
  </si>
  <si>
    <t xml:space="preserve">Dice + BCE loss; IoU / Dice metrics; BCE-only vs Dice+BCE comparison; README</t>
  </si>
  <si>
    <t xml:space="preserve">DBMS keys &amp; normalization</t>
  </si>
  <si>
    <t xml:space="preserve">1. CodeWithHarry — The Ultimate Job Ready Data Science Course
2. GeeksforGeeks [External]</t>
  </si>
  <si>
    <t xml:space="preserve">1. §11 — L12 Constraints · L13 Foreign Keys · L17 Views · L18 Indexes
2. 'Normal Forms in DBMS' (1NF–BCNF) · 'Types of Keys in DBMS'</t>
  </si>
  <si>
    <t xml:space="preserve">CampusX — Databases (course, 5 lessons)</t>
  </si>
  <si>
    <t xml:space="preserve">All 5 lessons</t>
  </si>
  <si>
    <t xml:space="preserve">Greedy scheduling</t>
  </si>
  <si>
    <t xml:space="preserve">LintCode / LeetCode / GfG [External]</t>
  </si>
  <si>
    <t xml:space="preserve">Meeting Rooms (LintCode 920) · Meeting Rooms II (LintCode 919) · Task Scheduler (LC 621) · Minimum Platforms (GfG)</t>
  </si>
  <si>
    <t xml:space="preserve">Debug sklearn code (leakage, scaling y)</t>
  </si>
  <si>
    <t xml:space="preserve">§9 Intuit — find logical errors in logistic-regression / sklearn snippets (×3)</t>
  </si>
  <si>
    <t xml:space="preserve">Hugging Face fine-tune (DistilBERT)</t>
  </si>
  <si>
    <t xml:space="preserve">Ch 3 'Fine-tuning a pretrained model'</t>
  </si>
  <si>
    <t xml:space="preserve">REST / HTTP basics</t>
  </si>
  <si>
    <t xml:space="preserve">CampusX — FastAPI for Machine Learning (course, 13 lessons)</t>
  </si>
  <si>
    <t xml:space="preserve">First 3–4 lessons (HTTP methods, path/query params)</t>
  </si>
  <si>
    <t xml:space="preserve">1. §18 Web Dev — 'Introduction to Flask', 'Query Parameters', 'Creating an API in Flask'
2. Module 30 — L11–L12 FastAPI</t>
  </si>
  <si>
    <t xml:space="preserve">BFS with constraints</t>
  </si>
  <si>
    <t xml:space="preserve">Cheapest Flights Within K Stops (787) · Shortest Path in Binary Matrix (1091) · Jump Game (55)</t>
  </si>
  <si>
    <t xml:space="preserve">Project 3 — ViT vs CNN on MedMNIST (part 1)</t>
  </si>
  <si>
    <t xml:space="preserve">MedMNIST v2 (medmnist.com) — BloodMNIST or DermaMNIST [External]</t>
  </si>
  <si>
    <t xml:space="preserve">Same split for ViT and ResNet-18; train the CNN baseline</t>
  </si>
  <si>
    <t xml:space="preserve">Threads vs processes; OS MCQs</t>
  </si>
  <si>
    <t xml:space="preserve">GeeksforGeeks [External]</t>
  </si>
  <si>
    <t xml:space="preserve">'Difference between Process and Thread' + OS quizzes: CPU scheduling, deadlock, paging</t>
  </si>
  <si>
    <t xml:space="preserve">Mixed revision: redo 4 problems you found hardest</t>
  </si>
  <si>
    <t xml:space="preserve">Pick 4 from your solved list (one each: two pointers, sliding window, binary search, graphs) — timed, 25 min each</t>
  </si>
  <si>
    <t xml:space="preserve">Final-day timed revision</t>
  </si>
  <si>
    <t xml:space="preserve">Project 3 — ViT vs CNN on MedMNIST (part 2)</t>
  </si>
  <si>
    <t xml:space="preserve">Hugging Face — Transformers docs: 'Image classification' task guide [External]</t>
  </si>
  <si>
    <t xml:space="preserve">Fine-tune a ViT; table of accuracy / macro-F1 / params / time; README</t>
  </si>
  <si>
    <t xml:space="preserve">Agents &amp; tool calling</t>
  </si>
  <si>
    <t xml:space="preserve">Module 35 — Assignment A32 (tools, tool calling, ReAct agent)</t>
  </si>
  <si>
    <t xml:space="preserve">CampusX — Agentic AI using LangGraph (playlist, 28 videos)</t>
  </si>
  <si>
    <t xml:space="preserve">First few videos only</t>
  </si>
  <si>
    <t xml:space="preserve">Daily load check — hours per day (from the Est. hrs columns)</t>
  </si>
  <si>
    <t xml:space="preserve">All cells below are formulas. Change an estimate or move a row to another date in the Theory / Coding tabs and these totals update.</t>
  </si>
  <si>
    <t xml:space="preserve">Theory hrs</t>
  </si>
  <si>
    <t xml:space="preserve">DSA / SQL practice hrs</t>
  </si>
  <si>
    <t xml:space="preserve">ML / DL coding hrs</t>
  </si>
  <si>
    <t xml:space="preserve">Total hrs</t>
  </si>
  <si>
    <t xml:space="preserve">Theory topics</t>
  </si>
  <si>
    <t xml:space="preserve">Practice items</t>
  </si>
  <si>
    <t xml:space="preserve">Rows done</t>
  </si>
  <si>
    <t xml:space="preserve">Rows total</t>
  </si>
  <si>
    <t xml:space="preserve">% done</t>
  </si>
  <si>
    <t xml:space="preserve">Total</t>
  </si>
  <si>
    <t xml:space="preserve">Average / day</t>
  </si>
  <si>
    <t xml:space="preserve">Min / Max 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</si>
</sst>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d&quot;, &quot;dd\-mmm"/>
    <numFmt numFmtId="166" formatCode="0.00"/>
    <numFmt numFmtId="167" formatCode="General"/>
    <numFmt numFmtId="168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7F7F7F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7030A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DEBF7"/>
        <bgColor rgb="FFD9E1F2"/>
      </patternFill>
    </fill>
    <fill>
      <patternFill patternType="solid">
        <fgColor rgb="FFD9E1F2"/>
        <bgColor rgb="FFDDEBF7"/>
      </patternFill>
    </fill>
    <fill>
      <patternFill patternType="solid">
        <fgColor rgb="FFFDE2E1"/>
        <bgColor rgb="FFFCE4D6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030A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7030A0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DE2E1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34"/>
    <col collapsed="false" customWidth="true" hidden="false" outlineLevel="0" max="4" min="4" style="1" width="20"/>
    <col collapsed="false" customWidth="true" hidden="false" outlineLevel="0" max="5" min="5" style="1" width="10"/>
    <col collapsed="false" customWidth="true" hidden="false" outlineLevel="0" max="6" min="6" style="1" width="40"/>
    <col collapsed="false" customWidth="true" hidden="false" outlineLevel="0" max="7" min="7" style="1" width="58"/>
    <col collapsed="false" customWidth="true" hidden="false" outlineLevel="0" max="8" min="8" style="1" width="36"/>
    <col collapsed="false" customWidth="true" hidden="false" outlineLevel="0" max="9" min="9" style="1" width="50"/>
    <col collapsed="false" customWidth="true" hidden="false" outlineLevel="0" max="10" min="10" style="1" width="8"/>
    <col collapsed="false" customWidth="true" hidden="false" outlineLevel="0" max="11" min="11" style="1" width="13"/>
    <col collapsed="false" customWidth="true" hidden="false" outlineLevel="0" max="12" min="12" style="1" width="24"/>
  </cols>
  <sheetData>
    <row r="1" customFormat="false" ht="19.5" hidden="false" customHeight="true" outlineLevel="0" collapsed="false">
      <c r="A1" s="2" t="s">
        <v>0</v>
      </c>
      <c r="F1" s="3" t="str">
        <f aca="false">"Rows done: "&amp;COUNTIF(K7:K83,"Done")&amp;" / "&amp;COUNTA(K7:K83)&amp;"   ("&amp;TEXT(COUNTIF(K7:K83,"Done")/COUNTA(K7:K83),"0%")&amp;")"</f>
        <v>Rows done: 0 / 77   (0%)</v>
      </c>
    </row>
    <row r="2" customFormat="false" ht="13.5" hidden="false" customHeight="true" outlineLevel="0" collapsed="false">
      <c r="A2" s="4" t="s">
        <v>1</v>
      </c>
    </row>
    <row r="3" customFormat="false" ht="13.5" hidden="false" customHeight="true" outlineLevel="0" collapsed="false">
      <c r="A3" s="4" t="s">
        <v>2</v>
      </c>
    </row>
    <row r="4" customFormat="false" ht="13.5" hidden="false" customHeight="true" outlineLevel="0" collapsed="false">
      <c r="A4" s="4" t="s">
        <v>3</v>
      </c>
    </row>
    <row r="6" customFormat="false" ht="30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</row>
    <row r="7" customFormat="false" ht="87.75" hidden="false" customHeight="true" outlineLevel="0" collapsed="false">
      <c r="A7" s="6" t="n">
        <v>1</v>
      </c>
      <c r="B7" s="7" t="n">
        <v>46308</v>
      </c>
      <c r="C7" s="8" t="s">
        <v>16</v>
      </c>
      <c r="D7" s="9" t="s">
        <v>17</v>
      </c>
      <c r="E7" s="10" t="s">
        <v>18</v>
      </c>
      <c r="F7" s="11" t="s">
        <v>19</v>
      </c>
      <c r="G7" s="11" t="s">
        <v>20</v>
      </c>
      <c r="H7" s="11" t="s">
        <v>21</v>
      </c>
      <c r="I7" s="11" t="s">
        <v>22</v>
      </c>
      <c r="J7" s="12" t="n">
        <v>2.75</v>
      </c>
      <c r="K7" s="11" t="s">
        <v>23</v>
      </c>
      <c r="L7" s="11"/>
    </row>
    <row r="8" customFormat="false" ht="75.75" hidden="false" customHeight="true" outlineLevel="0" collapsed="false">
      <c r="A8" s="13" t="n">
        <v>2</v>
      </c>
      <c r="B8" s="14" t="n">
        <v>46308</v>
      </c>
      <c r="C8" s="15" t="s">
        <v>24</v>
      </c>
      <c r="D8" s="16" t="s">
        <v>17</v>
      </c>
      <c r="E8" s="17" t="s">
        <v>18</v>
      </c>
      <c r="F8" s="18" t="s">
        <v>25</v>
      </c>
      <c r="G8" s="18" t="s">
        <v>26</v>
      </c>
      <c r="H8" s="18" t="s">
        <v>27</v>
      </c>
      <c r="I8" s="18" t="s">
        <v>28</v>
      </c>
      <c r="J8" s="19" t="n">
        <v>2</v>
      </c>
      <c r="K8" s="18" t="s">
        <v>23</v>
      </c>
      <c r="L8" s="18"/>
    </row>
    <row r="9" customFormat="false" ht="39" hidden="false" customHeight="true" outlineLevel="0" collapsed="false">
      <c r="A9" s="6" t="n">
        <v>3</v>
      </c>
      <c r="B9" s="20" t="n">
        <v>46309</v>
      </c>
      <c r="C9" s="8" t="s">
        <v>29</v>
      </c>
      <c r="D9" s="9" t="s">
        <v>17</v>
      </c>
      <c r="E9" s="10" t="s">
        <v>18</v>
      </c>
      <c r="F9" s="11" t="s">
        <v>30</v>
      </c>
      <c r="G9" s="11" t="s">
        <v>31</v>
      </c>
      <c r="H9" s="11" t="s">
        <v>32</v>
      </c>
      <c r="I9" s="11" t="s">
        <v>32</v>
      </c>
      <c r="J9" s="12" t="n">
        <v>0.75</v>
      </c>
      <c r="K9" s="11" t="s">
        <v>23</v>
      </c>
      <c r="L9" s="11" t="s">
        <v>33</v>
      </c>
    </row>
    <row r="10" customFormat="false" ht="75.75" hidden="false" customHeight="true" outlineLevel="0" collapsed="false">
      <c r="A10" s="13" t="n">
        <v>4</v>
      </c>
      <c r="B10" s="21" t="n">
        <v>46309</v>
      </c>
      <c r="C10" s="15" t="s">
        <v>34</v>
      </c>
      <c r="D10" s="16" t="s">
        <v>17</v>
      </c>
      <c r="E10" s="17" t="s">
        <v>18</v>
      </c>
      <c r="F10" s="18" t="s">
        <v>35</v>
      </c>
      <c r="G10" s="18" t="s">
        <v>36</v>
      </c>
      <c r="H10" s="22" t="s">
        <v>37</v>
      </c>
      <c r="I10" s="22" t="s">
        <v>38</v>
      </c>
      <c r="J10" s="19" t="n">
        <v>1.5</v>
      </c>
      <c r="K10" s="18" t="s">
        <v>23</v>
      </c>
      <c r="L10" s="18"/>
    </row>
    <row r="11" customFormat="false" ht="51.75" hidden="false" customHeight="true" outlineLevel="0" collapsed="false">
      <c r="A11" s="13" t="n">
        <v>5</v>
      </c>
      <c r="B11" s="21" t="n">
        <v>46309</v>
      </c>
      <c r="C11" s="15" t="s">
        <v>39</v>
      </c>
      <c r="D11" s="16" t="s">
        <v>17</v>
      </c>
      <c r="E11" s="17" t="s">
        <v>18</v>
      </c>
      <c r="F11" s="18" t="s">
        <v>40</v>
      </c>
      <c r="G11" s="18" t="s">
        <v>41</v>
      </c>
      <c r="H11" s="22" t="s">
        <v>42</v>
      </c>
      <c r="I11" s="22" t="s">
        <v>43</v>
      </c>
      <c r="J11" s="19" t="n">
        <v>2.75</v>
      </c>
      <c r="K11" s="18" t="s">
        <v>23</v>
      </c>
      <c r="L11" s="18"/>
    </row>
    <row r="12" customFormat="false" ht="63.75" hidden="false" customHeight="true" outlineLevel="0" collapsed="false">
      <c r="A12" s="13" t="n">
        <v>6</v>
      </c>
      <c r="B12" s="21" t="n">
        <v>46309</v>
      </c>
      <c r="C12" s="15" t="s">
        <v>44</v>
      </c>
      <c r="D12" s="16" t="s">
        <v>17</v>
      </c>
      <c r="E12" s="17" t="s">
        <v>18</v>
      </c>
      <c r="F12" s="18" t="s">
        <v>45</v>
      </c>
      <c r="G12" s="18" t="s">
        <v>46</v>
      </c>
      <c r="H12" s="22" t="s">
        <v>47</v>
      </c>
      <c r="I12" s="22" t="s">
        <v>48</v>
      </c>
      <c r="J12" s="19" t="n">
        <v>2</v>
      </c>
      <c r="K12" s="18" t="s">
        <v>23</v>
      </c>
      <c r="L12" s="18"/>
    </row>
    <row r="13" customFormat="false" ht="75.75" hidden="false" customHeight="true" outlineLevel="0" collapsed="false">
      <c r="A13" s="6" t="n">
        <v>7</v>
      </c>
      <c r="B13" s="7" t="n">
        <v>46310</v>
      </c>
      <c r="C13" s="8" t="s">
        <v>49</v>
      </c>
      <c r="D13" s="9" t="s">
        <v>50</v>
      </c>
      <c r="E13" s="10" t="s">
        <v>18</v>
      </c>
      <c r="F13" s="11" t="s">
        <v>51</v>
      </c>
      <c r="G13" s="11" t="s">
        <v>52</v>
      </c>
      <c r="H13" s="11" t="s">
        <v>53</v>
      </c>
      <c r="I13" s="11" t="s">
        <v>54</v>
      </c>
      <c r="J13" s="12" t="n">
        <v>2.75</v>
      </c>
      <c r="K13" s="11" t="s">
        <v>23</v>
      </c>
      <c r="L13" s="11"/>
    </row>
    <row r="14" customFormat="false" ht="63.75" hidden="false" customHeight="true" outlineLevel="0" collapsed="false">
      <c r="A14" s="13" t="n">
        <v>8</v>
      </c>
      <c r="B14" s="14" t="n">
        <v>46310</v>
      </c>
      <c r="C14" s="15" t="s">
        <v>55</v>
      </c>
      <c r="D14" s="16" t="s">
        <v>50</v>
      </c>
      <c r="E14" s="17" t="s">
        <v>18</v>
      </c>
      <c r="F14" s="18" t="s">
        <v>51</v>
      </c>
      <c r="G14" s="18" t="s">
        <v>56</v>
      </c>
      <c r="H14" s="18" t="s">
        <v>57</v>
      </c>
      <c r="I14" s="18" t="s">
        <v>58</v>
      </c>
      <c r="J14" s="19" t="n">
        <v>2</v>
      </c>
      <c r="K14" s="18" t="s">
        <v>23</v>
      </c>
      <c r="L14" s="18"/>
    </row>
    <row r="15" customFormat="false" ht="39" hidden="false" customHeight="true" outlineLevel="0" collapsed="false">
      <c r="A15" s="13" t="n">
        <v>9</v>
      </c>
      <c r="B15" s="14" t="n">
        <v>46310</v>
      </c>
      <c r="C15" s="15" t="s">
        <v>59</v>
      </c>
      <c r="D15" s="16" t="s">
        <v>50</v>
      </c>
      <c r="E15" s="17" t="s">
        <v>18</v>
      </c>
      <c r="F15" s="18" t="s">
        <v>60</v>
      </c>
      <c r="G15" s="18" t="s">
        <v>61</v>
      </c>
      <c r="H15" s="18" t="s">
        <v>32</v>
      </c>
      <c r="I15" s="18" t="s">
        <v>32</v>
      </c>
      <c r="J15" s="19" t="n">
        <v>0.75</v>
      </c>
      <c r="K15" s="18" t="s">
        <v>23</v>
      </c>
      <c r="L15" s="18"/>
    </row>
    <row r="16" customFormat="false" ht="75.75" hidden="false" customHeight="true" outlineLevel="0" collapsed="false">
      <c r="A16" s="13" t="n">
        <v>10</v>
      </c>
      <c r="B16" s="14" t="n">
        <v>46310</v>
      </c>
      <c r="C16" s="15" t="s">
        <v>62</v>
      </c>
      <c r="D16" s="16" t="s">
        <v>50</v>
      </c>
      <c r="E16" s="17" t="s">
        <v>18</v>
      </c>
      <c r="F16" s="18" t="s">
        <v>63</v>
      </c>
      <c r="G16" s="18" t="s">
        <v>64</v>
      </c>
      <c r="H16" s="18" t="s">
        <v>65</v>
      </c>
      <c r="I16" s="18" t="s">
        <v>66</v>
      </c>
      <c r="J16" s="19" t="n">
        <v>1.5</v>
      </c>
      <c r="K16" s="18" t="s">
        <v>23</v>
      </c>
      <c r="L16" s="18"/>
    </row>
    <row r="17" customFormat="false" ht="75.75" hidden="false" customHeight="true" outlineLevel="0" collapsed="false">
      <c r="A17" s="6" t="n">
        <v>11</v>
      </c>
      <c r="B17" s="20" t="n">
        <v>46311</v>
      </c>
      <c r="C17" s="8" t="s">
        <v>67</v>
      </c>
      <c r="D17" s="9" t="s">
        <v>50</v>
      </c>
      <c r="E17" s="10" t="s">
        <v>18</v>
      </c>
      <c r="F17" s="11" t="s">
        <v>35</v>
      </c>
      <c r="G17" s="11" t="s">
        <v>68</v>
      </c>
      <c r="H17" s="11" t="s">
        <v>69</v>
      </c>
      <c r="I17" s="11" t="s">
        <v>70</v>
      </c>
      <c r="J17" s="12" t="n">
        <v>3.25</v>
      </c>
      <c r="K17" s="11" t="s">
        <v>23</v>
      </c>
      <c r="L17" s="11"/>
    </row>
    <row r="18" customFormat="false" ht="27" hidden="false" customHeight="true" outlineLevel="0" collapsed="false">
      <c r="A18" s="13" t="n">
        <v>12</v>
      </c>
      <c r="B18" s="21" t="n">
        <v>46311</v>
      </c>
      <c r="C18" s="15" t="s">
        <v>71</v>
      </c>
      <c r="D18" s="16" t="s">
        <v>50</v>
      </c>
      <c r="E18" s="17" t="s">
        <v>18</v>
      </c>
      <c r="F18" s="18" t="s">
        <v>51</v>
      </c>
      <c r="G18" s="18" t="s">
        <v>72</v>
      </c>
      <c r="H18" s="18" t="s">
        <v>32</v>
      </c>
      <c r="I18" s="18" t="s">
        <v>32</v>
      </c>
      <c r="J18" s="19" t="n">
        <v>2.75</v>
      </c>
      <c r="K18" s="18" t="s">
        <v>23</v>
      </c>
      <c r="L18" s="18" t="s">
        <v>73</v>
      </c>
    </row>
    <row r="19" customFormat="false" ht="63.75" hidden="false" customHeight="true" outlineLevel="0" collapsed="false">
      <c r="A19" s="6" t="n">
        <v>13</v>
      </c>
      <c r="B19" s="7" t="n">
        <v>46312</v>
      </c>
      <c r="C19" s="8" t="s">
        <v>74</v>
      </c>
      <c r="D19" s="9" t="s">
        <v>50</v>
      </c>
      <c r="E19" s="10" t="s">
        <v>18</v>
      </c>
      <c r="F19" s="11" t="s">
        <v>75</v>
      </c>
      <c r="G19" s="11" t="s">
        <v>76</v>
      </c>
      <c r="H19" s="11" t="s">
        <v>77</v>
      </c>
      <c r="I19" s="11" t="s">
        <v>78</v>
      </c>
      <c r="J19" s="12" t="n">
        <v>1.25</v>
      </c>
      <c r="K19" s="11" t="s">
        <v>23</v>
      </c>
      <c r="L19" s="11"/>
    </row>
    <row r="20" customFormat="false" ht="63.75" hidden="false" customHeight="true" outlineLevel="0" collapsed="false">
      <c r="A20" s="13" t="n">
        <v>14</v>
      </c>
      <c r="B20" s="14" t="n">
        <v>46312</v>
      </c>
      <c r="C20" s="15" t="s">
        <v>79</v>
      </c>
      <c r="D20" s="16" t="s">
        <v>50</v>
      </c>
      <c r="E20" s="17" t="s">
        <v>18</v>
      </c>
      <c r="F20" s="18" t="s">
        <v>80</v>
      </c>
      <c r="G20" s="18" t="s">
        <v>81</v>
      </c>
      <c r="H20" s="18" t="s">
        <v>82</v>
      </c>
      <c r="I20" s="18" t="s">
        <v>83</v>
      </c>
      <c r="J20" s="19" t="n">
        <v>2.75</v>
      </c>
      <c r="K20" s="18" t="s">
        <v>23</v>
      </c>
      <c r="L20" s="18"/>
    </row>
    <row r="21" customFormat="false" ht="39" hidden="false" customHeight="true" outlineLevel="0" collapsed="false">
      <c r="A21" s="13" t="n">
        <v>15</v>
      </c>
      <c r="B21" s="14" t="n">
        <v>46312</v>
      </c>
      <c r="C21" s="15" t="s">
        <v>84</v>
      </c>
      <c r="D21" s="16" t="s">
        <v>50</v>
      </c>
      <c r="E21" s="17" t="s">
        <v>18</v>
      </c>
      <c r="F21" s="18" t="s">
        <v>51</v>
      </c>
      <c r="G21" s="18" t="s">
        <v>85</v>
      </c>
      <c r="H21" s="18" t="s">
        <v>86</v>
      </c>
      <c r="I21" s="18" t="s">
        <v>87</v>
      </c>
      <c r="J21" s="19" t="n">
        <v>2.5</v>
      </c>
      <c r="K21" s="18" t="s">
        <v>23</v>
      </c>
      <c r="L21" s="18"/>
    </row>
    <row r="22" customFormat="false" ht="75.75" hidden="false" customHeight="true" outlineLevel="0" collapsed="false">
      <c r="A22" s="6" t="n">
        <v>16</v>
      </c>
      <c r="B22" s="20" t="n">
        <v>46313</v>
      </c>
      <c r="C22" s="8" t="s">
        <v>88</v>
      </c>
      <c r="D22" s="9" t="s">
        <v>50</v>
      </c>
      <c r="E22" s="10" t="s">
        <v>18</v>
      </c>
      <c r="F22" s="11" t="s">
        <v>80</v>
      </c>
      <c r="G22" s="11" t="s">
        <v>89</v>
      </c>
      <c r="H22" s="11" t="s">
        <v>90</v>
      </c>
      <c r="I22" s="11" t="s">
        <v>91</v>
      </c>
      <c r="J22" s="12" t="n">
        <v>1.5</v>
      </c>
      <c r="K22" s="11" t="s">
        <v>23</v>
      </c>
      <c r="L22" s="11"/>
    </row>
    <row r="23" customFormat="false" ht="39" hidden="false" customHeight="true" outlineLevel="0" collapsed="false">
      <c r="A23" s="13" t="n">
        <v>17</v>
      </c>
      <c r="B23" s="21" t="n">
        <v>46313</v>
      </c>
      <c r="C23" s="15" t="s">
        <v>92</v>
      </c>
      <c r="D23" s="16" t="s">
        <v>93</v>
      </c>
      <c r="E23" s="17" t="s">
        <v>18</v>
      </c>
      <c r="F23" s="18" t="s">
        <v>51</v>
      </c>
      <c r="G23" s="18" t="s">
        <v>94</v>
      </c>
      <c r="H23" s="18" t="s">
        <v>53</v>
      </c>
      <c r="I23" s="18" t="s">
        <v>95</v>
      </c>
      <c r="J23" s="19" t="n">
        <v>1.5</v>
      </c>
      <c r="K23" s="18" t="s">
        <v>23</v>
      </c>
      <c r="L23" s="18"/>
    </row>
    <row r="24" customFormat="false" ht="63.75" hidden="false" customHeight="true" outlineLevel="0" collapsed="false">
      <c r="A24" s="13" t="n">
        <v>18</v>
      </c>
      <c r="B24" s="21" t="n">
        <v>46313</v>
      </c>
      <c r="C24" s="15" t="s">
        <v>96</v>
      </c>
      <c r="D24" s="16" t="s">
        <v>93</v>
      </c>
      <c r="E24" s="17" t="s">
        <v>18</v>
      </c>
      <c r="F24" s="18" t="s">
        <v>97</v>
      </c>
      <c r="G24" s="18" t="s">
        <v>98</v>
      </c>
      <c r="H24" s="22" t="s">
        <v>37</v>
      </c>
      <c r="I24" s="22" t="s">
        <v>99</v>
      </c>
      <c r="J24" s="19" t="n">
        <v>2</v>
      </c>
      <c r="K24" s="18" t="s">
        <v>23</v>
      </c>
      <c r="L24" s="18"/>
    </row>
    <row r="25" customFormat="false" ht="39" hidden="false" customHeight="true" outlineLevel="0" collapsed="false">
      <c r="A25" s="13" t="n">
        <v>19</v>
      </c>
      <c r="B25" s="21" t="n">
        <v>46313</v>
      </c>
      <c r="C25" s="15" t="s">
        <v>100</v>
      </c>
      <c r="D25" s="16" t="s">
        <v>93</v>
      </c>
      <c r="E25" s="17" t="s">
        <v>18</v>
      </c>
      <c r="F25" s="18" t="s">
        <v>51</v>
      </c>
      <c r="G25" s="18" t="s">
        <v>101</v>
      </c>
      <c r="H25" s="18" t="s">
        <v>53</v>
      </c>
      <c r="I25" s="18" t="s">
        <v>102</v>
      </c>
      <c r="J25" s="19" t="n">
        <v>0.5</v>
      </c>
      <c r="K25" s="18" t="s">
        <v>23</v>
      </c>
      <c r="L25" s="18"/>
    </row>
    <row r="26" customFormat="false" ht="39" hidden="false" customHeight="true" outlineLevel="0" collapsed="false">
      <c r="A26" s="13" t="n">
        <v>20</v>
      </c>
      <c r="B26" s="21" t="n">
        <v>46313</v>
      </c>
      <c r="C26" s="15" t="s">
        <v>103</v>
      </c>
      <c r="D26" s="16" t="s">
        <v>50</v>
      </c>
      <c r="E26" s="17" t="s">
        <v>18</v>
      </c>
      <c r="F26" s="18" t="s">
        <v>80</v>
      </c>
      <c r="G26" s="18" t="s">
        <v>104</v>
      </c>
      <c r="H26" s="22" t="s">
        <v>105</v>
      </c>
      <c r="I26" s="22" t="s">
        <v>106</v>
      </c>
      <c r="J26" s="19" t="n">
        <v>1.25</v>
      </c>
      <c r="K26" s="18" t="s">
        <v>23</v>
      </c>
      <c r="L26" s="18"/>
    </row>
    <row r="27" customFormat="false" ht="39" hidden="false" customHeight="true" outlineLevel="0" collapsed="false">
      <c r="A27" s="6" t="n">
        <v>21</v>
      </c>
      <c r="B27" s="7" t="n">
        <v>46314</v>
      </c>
      <c r="C27" s="8" t="s">
        <v>107</v>
      </c>
      <c r="D27" s="9" t="s">
        <v>50</v>
      </c>
      <c r="E27" s="10" t="s">
        <v>18</v>
      </c>
      <c r="F27" s="11" t="s">
        <v>51</v>
      </c>
      <c r="G27" s="11" t="s">
        <v>108</v>
      </c>
      <c r="H27" s="11" t="s">
        <v>109</v>
      </c>
      <c r="I27" s="11" t="s">
        <v>110</v>
      </c>
      <c r="J27" s="12" t="n">
        <v>1.75</v>
      </c>
      <c r="K27" s="11" t="s">
        <v>23</v>
      </c>
      <c r="L27" s="11"/>
    </row>
    <row r="28" customFormat="false" ht="39" hidden="false" customHeight="true" outlineLevel="0" collapsed="false">
      <c r="A28" s="13" t="n">
        <v>22</v>
      </c>
      <c r="B28" s="14" t="n">
        <v>46314</v>
      </c>
      <c r="C28" s="15" t="s">
        <v>111</v>
      </c>
      <c r="D28" s="16" t="s">
        <v>50</v>
      </c>
      <c r="E28" s="17" t="s">
        <v>18</v>
      </c>
      <c r="F28" s="18" t="s">
        <v>51</v>
      </c>
      <c r="G28" s="18" t="s">
        <v>112</v>
      </c>
      <c r="H28" s="18" t="s">
        <v>109</v>
      </c>
      <c r="I28" s="18" t="s">
        <v>113</v>
      </c>
      <c r="J28" s="19" t="n">
        <v>2.5</v>
      </c>
      <c r="K28" s="18" t="s">
        <v>23</v>
      </c>
      <c r="L28" s="18"/>
    </row>
    <row r="29" customFormat="false" ht="51.75" hidden="false" customHeight="true" outlineLevel="0" collapsed="false">
      <c r="A29" s="13" t="n">
        <v>23</v>
      </c>
      <c r="B29" s="14" t="n">
        <v>46314</v>
      </c>
      <c r="C29" s="15" t="s">
        <v>114</v>
      </c>
      <c r="D29" s="16" t="s">
        <v>50</v>
      </c>
      <c r="E29" s="17" t="s">
        <v>18</v>
      </c>
      <c r="F29" s="18" t="s">
        <v>80</v>
      </c>
      <c r="G29" s="18" t="s">
        <v>115</v>
      </c>
      <c r="H29" s="18" t="s">
        <v>116</v>
      </c>
      <c r="I29" s="18" t="s">
        <v>117</v>
      </c>
      <c r="J29" s="19" t="n">
        <v>3</v>
      </c>
      <c r="K29" s="18" t="s">
        <v>23</v>
      </c>
      <c r="L29" s="18"/>
    </row>
    <row r="30" customFormat="false" ht="27" hidden="false" customHeight="true" outlineLevel="0" collapsed="false">
      <c r="A30" s="6" t="n">
        <v>24</v>
      </c>
      <c r="B30" s="20" t="n">
        <v>46315</v>
      </c>
      <c r="C30" s="8" t="s">
        <v>118</v>
      </c>
      <c r="D30" s="9" t="s">
        <v>119</v>
      </c>
      <c r="E30" s="10" t="s">
        <v>18</v>
      </c>
      <c r="F30" s="11" t="s">
        <v>120</v>
      </c>
      <c r="G30" s="11" t="s">
        <v>121</v>
      </c>
      <c r="H30" s="11" t="s">
        <v>77</v>
      </c>
      <c r="I30" s="11" t="s">
        <v>122</v>
      </c>
      <c r="J30" s="12" t="n">
        <v>2</v>
      </c>
      <c r="K30" s="11" t="s">
        <v>23</v>
      </c>
      <c r="L30" s="11"/>
    </row>
    <row r="31" customFormat="false" ht="51.75" hidden="false" customHeight="true" outlineLevel="0" collapsed="false">
      <c r="A31" s="13" t="n">
        <v>25</v>
      </c>
      <c r="B31" s="21" t="n">
        <v>46315</v>
      </c>
      <c r="C31" s="15" t="s">
        <v>123</v>
      </c>
      <c r="D31" s="16" t="s">
        <v>119</v>
      </c>
      <c r="E31" s="17" t="s">
        <v>18</v>
      </c>
      <c r="F31" s="18" t="s">
        <v>124</v>
      </c>
      <c r="G31" s="18" t="s">
        <v>125</v>
      </c>
      <c r="H31" s="18" t="s">
        <v>126</v>
      </c>
      <c r="I31" s="18" t="s">
        <v>127</v>
      </c>
      <c r="J31" s="19" t="n">
        <v>2.25</v>
      </c>
      <c r="K31" s="18" t="s">
        <v>23</v>
      </c>
      <c r="L31" s="18"/>
    </row>
    <row r="32" customFormat="false" ht="27" hidden="false" customHeight="true" outlineLevel="0" collapsed="false">
      <c r="A32" s="13" t="n">
        <v>26</v>
      </c>
      <c r="B32" s="21" t="n">
        <v>46315</v>
      </c>
      <c r="C32" s="15" t="s">
        <v>128</v>
      </c>
      <c r="D32" s="16" t="s">
        <v>129</v>
      </c>
      <c r="E32" s="17" t="s">
        <v>18</v>
      </c>
      <c r="F32" s="22" t="s">
        <v>130</v>
      </c>
      <c r="G32" s="22" t="s">
        <v>131</v>
      </c>
      <c r="H32" s="22" t="s">
        <v>132</v>
      </c>
      <c r="I32" s="22" t="s">
        <v>133</v>
      </c>
      <c r="J32" s="19" t="n">
        <v>0.75</v>
      </c>
      <c r="K32" s="18" t="s">
        <v>23</v>
      </c>
      <c r="L32" s="18"/>
    </row>
    <row r="33" customFormat="false" ht="51.75" hidden="false" customHeight="true" outlineLevel="0" collapsed="false">
      <c r="A33" s="13" t="n">
        <v>27</v>
      </c>
      <c r="B33" s="21" t="n">
        <v>46315</v>
      </c>
      <c r="C33" s="15" t="s">
        <v>134</v>
      </c>
      <c r="D33" s="16" t="s">
        <v>119</v>
      </c>
      <c r="E33" s="17" t="s">
        <v>18</v>
      </c>
      <c r="F33" s="18" t="s">
        <v>135</v>
      </c>
      <c r="G33" s="18" t="s">
        <v>136</v>
      </c>
      <c r="H33" s="18" t="s">
        <v>77</v>
      </c>
      <c r="I33" s="18" t="s">
        <v>137</v>
      </c>
      <c r="J33" s="19" t="n">
        <v>1</v>
      </c>
      <c r="K33" s="18" t="s">
        <v>23</v>
      </c>
      <c r="L33" s="18"/>
    </row>
    <row r="34" customFormat="false" ht="39" hidden="false" customHeight="true" outlineLevel="0" collapsed="false">
      <c r="A34" s="6" t="n">
        <v>28</v>
      </c>
      <c r="B34" s="7" t="n">
        <v>46316</v>
      </c>
      <c r="C34" s="8" t="s">
        <v>138</v>
      </c>
      <c r="D34" s="9" t="s">
        <v>119</v>
      </c>
      <c r="E34" s="10" t="s">
        <v>18</v>
      </c>
      <c r="F34" s="11" t="s">
        <v>139</v>
      </c>
      <c r="G34" s="11" t="s">
        <v>140</v>
      </c>
      <c r="H34" s="11" t="s">
        <v>77</v>
      </c>
      <c r="I34" s="11" t="s">
        <v>141</v>
      </c>
      <c r="J34" s="12" t="n">
        <v>1</v>
      </c>
      <c r="K34" s="11" t="s">
        <v>23</v>
      </c>
      <c r="L34" s="11"/>
    </row>
    <row r="35" customFormat="false" ht="51.75" hidden="false" customHeight="true" outlineLevel="0" collapsed="false">
      <c r="A35" s="13" t="n">
        <v>29</v>
      </c>
      <c r="B35" s="14" t="n">
        <v>46316</v>
      </c>
      <c r="C35" s="15" t="s">
        <v>142</v>
      </c>
      <c r="D35" s="16" t="s">
        <v>119</v>
      </c>
      <c r="E35" s="17" t="s">
        <v>18</v>
      </c>
      <c r="F35" s="18" t="s">
        <v>124</v>
      </c>
      <c r="G35" s="18" t="s">
        <v>143</v>
      </c>
      <c r="H35" s="18" t="s">
        <v>144</v>
      </c>
      <c r="I35" s="18" t="s">
        <v>145</v>
      </c>
      <c r="J35" s="19" t="n">
        <v>2.5</v>
      </c>
      <c r="K35" s="18" t="s">
        <v>23</v>
      </c>
      <c r="L35" s="18"/>
    </row>
    <row r="36" customFormat="false" ht="39" hidden="false" customHeight="true" outlineLevel="0" collapsed="false">
      <c r="A36" s="13" t="n">
        <v>30</v>
      </c>
      <c r="B36" s="14" t="n">
        <v>46316</v>
      </c>
      <c r="C36" s="15" t="s">
        <v>146</v>
      </c>
      <c r="D36" s="16" t="s">
        <v>119</v>
      </c>
      <c r="E36" s="17" t="s">
        <v>18</v>
      </c>
      <c r="F36" s="18" t="s">
        <v>139</v>
      </c>
      <c r="G36" s="18" t="s">
        <v>147</v>
      </c>
      <c r="H36" s="18" t="s">
        <v>77</v>
      </c>
      <c r="I36" s="18" t="s">
        <v>148</v>
      </c>
      <c r="J36" s="19" t="n">
        <v>0.75</v>
      </c>
      <c r="K36" s="18" t="s">
        <v>23</v>
      </c>
      <c r="L36" s="18"/>
    </row>
    <row r="37" customFormat="false" ht="63.75" hidden="false" customHeight="true" outlineLevel="0" collapsed="false">
      <c r="A37" s="13" t="n">
        <v>31</v>
      </c>
      <c r="B37" s="14" t="n">
        <v>46316</v>
      </c>
      <c r="C37" s="15" t="s">
        <v>149</v>
      </c>
      <c r="D37" s="16" t="s">
        <v>119</v>
      </c>
      <c r="E37" s="17" t="s">
        <v>18</v>
      </c>
      <c r="F37" s="18" t="s">
        <v>150</v>
      </c>
      <c r="G37" s="18" t="s">
        <v>151</v>
      </c>
      <c r="H37" s="18" t="s">
        <v>152</v>
      </c>
      <c r="I37" s="18" t="s">
        <v>153</v>
      </c>
      <c r="J37" s="19" t="n">
        <v>1</v>
      </c>
      <c r="K37" s="18" t="s">
        <v>23</v>
      </c>
      <c r="L37" s="18"/>
    </row>
    <row r="38" customFormat="false" ht="39" hidden="false" customHeight="true" outlineLevel="0" collapsed="false">
      <c r="A38" s="13" t="n">
        <v>32</v>
      </c>
      <c r="B38" s="14" t="n">
        <v>46316</v>
      </c>
      <c r="C38" s="15" t="s">
        <v>154</v>
      </c>
      <c r="D38" s="16" t="s">
        <v>119</v>
      </c>
      <c r="E38" s="17" t="s">
        <v>18</v>
      </c>
      <c r="F38" s="18" t="s">
        <v>155</v>
      </c>
      <c r="G38" s="18" t="s">
        <v>156</v>
      </c>
      <c r="H38" s="18" t="s">
        <v>157</v>
      </c>
      <c r="I38" s="18" t="s">
        <v>158</v>
      </c>
      <c r="J38" s="19" t="n">
        <v>0.75</v>
      </c>
      <c r="K38" s="18" t="s">
        <v>23</v>
      </c>
      <c r="L38" s="18"/>
    </row>
    <row r="39" customFormat="false" ht="63.75" hidden="false" customHeight="true" outlineLevel="0" collapsed="false">
      <c r="A39" s="6" t="n">
        <v>33</v>
      </c>
      <c r="B39" s="20" t="n">
        <v>46317</v>
      </c>
      <c r="C39" s="8" t="s">
        <v>159</v>
      </c>
      <c r="D39" s="9" t="s">
        <v>119</v>
      </c>
      <c r="E39" s="10" t="s">
        <v>18</v>
      </c>
      <c r="F39" s="11" t="s">
        <v>124</v>
      </c>
      <c r="G39" s="11" t="s">
        <v>160</v>
      </c>
      <c r="H39" s="11" t="s">
        <v>161</v>
      </c>
      <c r="I39" s="11" t="s">
        <v>162</v>
      </c>
      <c r="J39" s="12" t="n">
        <v>1.25</v>
      </c>
      <c r="K39" s="11" t="s">
        <v>23</v>
      </c>
      <c r="L39" s="11"/>
    </row>
    <row r="40" customFormat="false" ht="63.75" hidden="false" customHeight="true" outlineLevel="0" collapsed="false">
      <c r="A40" s="13" t="n">
        <v>34</v>
      </c>
      <c r="B40" s="21" t="n">
        <v>46317</v>
      </c>
      <c r="C40" s="15" t="s">
        <v>163</v>
      </c>
      <c r="D40" s="16" t="s">
        <v>129</v>
      </c>
      <c r="E40" s="17" t="s">
        <v>18</v>
      </c>
      <c r="F40" s="18" t="s">
        <v>164</v>
      </c>
      <c r="G40" s="18" t="s">
        <v>165</v>
      </c>
      <c r="H40" s="18" t="s">
        <v>166</v>
      </c>
      <c r="I40" s="18" t="s">
        <v>167</v>
      </c>
      <c r="J40" s="19" t="n">
        <v>1.5</v>
      </c>
      <c r="K40" s="18" t="s">
        <v>23</v>
      </c>
      <c r="L40" s="18"/>
    </row>
    <row r="41" customFormat="false" ht="51.75" hidden="false" customHeight="true" outlineLevel="0" collapsed="false">
      <c r="A41" s="13" t="n">
        <v>35</v>
      </c>
      <c r="B41" s="21" t="n">
        <v>46317</v>
      </c>
      <c r="C41" s="15" t="s">
        <v>168</v>
      </c>
      <c r="D41" s="16" t="s">
        <v>129</v>
      </c>
      <c r="E41" s="17" t="s">
        <v>18</v>
      </c>
      <c r="F41" s="18" t="s">
        <v>124</v>
      </c>
      <c r="G41" s="18" t="s">
        <v>169</v>
      </c>
      <c r="H41" s="18" t="s">
        <v>170</v>
      </c>
      <c r="I41" s="18" t="s">
        <v>171</v>
      </c>
      <c r="J41" s="19" t="n">
        <v>2.5</v>
      </c>
      <c r="K41" s="18" t="s">
        <v>23</v>
      </c>
      <c r="L41" s="18"/>
    </row>
    <row r="42" customFormat="false" ht="27" hidden="false" customHeight="true" outlineLevel="0" collapsed="false">
      <c r="A42" s="13" t="n">
        <v>36</v>
      </c>
      <c r="B42" s="21" t="n">
        <v>46317</v>
      </c>
      <c r="C42" s="15" t="s">
        <v>172</v>
      </c>
      <c r="D42" s="16" t="s">
        <v>173</v>
      </c>
      <c r="E42" s="17" t="s">
        <v>18</v>
      </c>
      <c r="F42" s="18" t="s">
        <v>174</v>
      </c>
      <c r="G42" s="18" t="s">
        <v>175</v>
      </c>
      <c r="H42" s="18" t="s">
        <v>77</v>
      </c>
      <c r="I42" s="18" t="s">
        <v>176</v>
      </c>
      <c r="J42" s="19" t="n">
        <v>1.25</v>
      </c>
      <c r="K42" s="18" t="s">
        <v>23</v>
      </c>
      <c r="L42" s="18"/>
    </row>
    <row r="43" customFormat="false" ht="63.75" hidden="false" customHeight="true" outlineLevel="0" collapsed="false">
      <c r="A43" s="6" t="n">
        <v>37</v>
      </c>
      <c r="B43" s="7" t="n">
        <v>46318</v>
      </c>
      <c r="C43" s="8" t="s">
        <v>177</v>
      </c>
      <c r="D43" s="9" t="s">
        <v>173</v>
      </c>
      <c r="E43" s="10" t="s">
        <v>18</v>
      </c>
      <c r="F43" s="11" t="s">
        <v>178</v>
      </c>
      <c r="G43" s="11" t="s">
        <v>179</v>
      </c>
      <c r="H43" s="11" t="s">
        <v>180</v>
      </c>
      <c r="I43" s="11" t="s">
        <v>181</v>
      </c>
      <c r="J43" s="12" t="n">
        <v>2.5</v>
      </c>
      <c r="K43" s="11" t="s">
        <v>23</v>
      </c>
      <c r="L43" s="11"/>
    </row>
    <row r="44" customFormat="false" ht="39" hidden="false" customHeight="true" outlineLevel="0" collapsed="false">
      <c r="A44" s="13" t="n">
        <v>38</v>
      </c>
      <c r="B44" s="14" t="n">
        <v>46318</v>
      </c>
      <c r="C44" s="15" t="s">
        <v>182</v>
      </c>
      <c r="D44" s="16" t="s">
        <v>173</v>
      </c>
      <c r="E44" s="17" t="s">
        <v>18</v>
      </c>
      <c r="F44" s="18" t="s">
        <v>120</v>
      </c>
      <c r="G44" s="18" t="s">
        <v>183</v>
      </c>
      <c r="H44" s="18" t="s">
        <v>184</v>
      </c>
      <c r="I44" s="18" t="s">
        <v>185</v>
      </c>
      <c r="J44" s="19" t="n">
        <v>2.25</v>
      </c>
      <c r="K44" s="18" t="s">
        <v>23</v>
      </c>
      <c r="L44" s="18"/>
    </row>
    <row r="45" customFormat="false" ht="51.75" hidden="false" customHeight="true" outlineLevel="0" collapsed="false">
      <c r="A45" s="6" t="n">
        <v>39</v>
      </c>
      <c r="B45" s="20" t="n">
        <v>46319</v>
      </c>
      <c r="C45" s="8" t="s">
        <v>186</v>
      </c>
      <c r="D45" s="9" t="s">
        <v>173</v>
      </c>
      <c r="E45" s="10" t="s">
        <v>18</v>
      </c>
      <c r="F45" s="11" t="s">
        <v>124</v>
      </c>
      <c r="G45" s="11" t="s">
        <v>187</v>
      </c>
      <c r="H45" s="11" t="s">
        <v>77</v>
      </c>
      <c r="I45" s="11" t="s">
        <v>188</v>
      </c>
      <c r="J45" s="12" t="n">
        <v>1.5</v>
      </c>
      <c r="K45" s="11" t="s">
        <v>23</v>
      </c>
      <c r="L45" s="11"/>
    </row>
    <row r="46" customFormat="false" ht="75.75" hidden="false" customHeight="true" outlineLevel="0" collapsed="false">
      <c r="A46" s="13" t="n">
        <v>40</v>
      </c>
      <c r="B46" s="21" t="n">
        <v>46319</v>
      </c>
      <c r="C46" s="15" t="s">
        <v>189</v>
      </c>
      <c r="D46" s="16" t="s">
        <v>173</v>
      </c>
      <c r="E46" s="17" t="s">
        <v>18</v>
      </c>
      <c r="F46" s="18" t="s">
        <v>77</v>
      </c>
      <c r="G46" s="18" t="s">
        <v>190</v>
      </c>
      <c r="H46" s="18" t="s">
        <v>191</v>
      </c>
      <c r="I46" s="18" t="s">
        <v>192</v>
      </c>
      <c r="J46" s="19" t="n">
        <v>2</v>
      </c>
      <c r="K46" s="18" t="s">
        <v>23</v>
      </c>
      <c r="L46" s="18"/>
    </row>
    <row r="47" customFormat="false" ht="63.75" hidden="false" customHeight="true" outlineLevel="0" collapsed="false">
      <c r="A47" s="13" t="n">
        <v>41</v>
      </c>
      <c r="B47" s="21" t="n">
        <v>46319</v>
      </c>
      <c r="C47" s="15" t="s">
        <v>193</v>
      </c>
      <c r="D47" s="16" t="s">
        <v>173</v>
      </c>
      <c r="E47" s="17" t="s">
        <v>18</v>
      </c>
      <c r="F47" s="18" t="s">
        <v>194</v>
      </c>
      <c r="G47" s="18" t="s">
        <v>195</v>
      </c>
      <c r="H47" s="18" t="s">
        <v>155</v>
      </c>
      <c r="I47" s="18" t="s">
        <v>196</v>
      </c>
      <c r="J47" s="19" t="n">
        <v>1.75</v>
      </c>
      <c r="K47" s="18" t="s">
        <v>23</v>
      </c>
      <c r="L47" s="18"/>
    </row>
    <row r="48" customFormat="false" ht="51.75" hidden="false" customHeight="true" outlineLevel="0" collapsed="false">
      <c r="A48" s="13" t="n">
        <v>42</v>
      </c>
      <c r="B48" s="21" t="n">
        <v>46319</v>
      </c>
      <c r="C48" s="15" t="s">
        <v>197</v>
      </c>
      <c r="D48" s="16" t="s">
        <v>198</v>
      </c>
      <c r="E48" s="17" t="s">
        <v>18</v>
      </c>
      <c r="F48" s="18" t="s">
        <v>120</v>
      </c>
      <c r="G48" s="18" t="s">
        <v>199</v>
      </c>
      <c r="H48" s="18" t="s">
        <v>200</v>
      </c>
      <c r="I48" s="18" t="s">
        <v>201</v>
      </c>
      <c r="J48" s="19" t="n">
        <v>1.5</v>
      </c>
      <c r="K48" s="18" t="s">
        <v>23</v>
      </c>
      <c r="L48" s="18"/>
    </row>
    <row r="49" customFormat="false" ht="51.75" hidden="false" customHeight="true" outlineLevel="0" collapsed="false">
      <c r="A49" s="6" t="n">
        <v>43</v>
      </c>
      <c r="B49" s="7" t="n">
        <v>46320</v>
      </c>
      <c r="C49" s="8" t="s">
        <v>202</v>
      </c>
      <c r="D49" s="9" t="s">
        <v>198</v>
      </c>
      <c r="E49" s="10" t="s">
        <v>18</v>
      </c>
      <c r="F49" s="11" t="s">
        <v>124</v>
      </c>
      <c r="G49" s="11" t="s">
        <v>203</v>
      </c>
      <c r="H49" s="23" t="s">
        <v>204</v>
      </c>
      <c r="I49" s="23" t="s">
        <v>205</v>
      </c>
      <c r="J49" s="12" t="n">
        <v>1.5</v>
      </c>
      <c r="K49" s="11" t="s">
        <v>23</v>
      </c>
      <c r="L49" s="11"/>
    </row>
    <row r="50" customFormat="false" ht="51.75" hidden="false" customHeight="true" outlineLevel="0" collapsed="false">
      <c r="A50" s="13" t="n">
        <v>44</v>
      </c>
      <c r="B50" s="14" t="n">
        <v>46320</v>
      </c>
      <c r="C50" s="15" t="s">
        <v>206</v>
      </c>
      <c r="D50" s="16" t="s">
        <v>207</v>
      </c>
      <c r="E50" s="17" t="s">
        <v>18</v>
      </c>
      <c r="F50" s="18" t="s">
        <v>208</v>
      </c>
      <c r="G50" s="18" t="s">
        <v>209</v>
      </c>
      <c r="H50" s="18" t="s">
        <v>53</v>
      </c>
      <c r="I50" s="18" t="s">
        <v>210</v>
      </c>
      <c r="J50" s="19" t="n">
        <v>2.25</v>
      </c>
      <c r="K50" s="18" t="s">
        <v>23</v>
      </c>
      <c r="L50" s="18"/>
    </row>
    <row r="51" customFormat="false" ht="51.75" hidden="false" customHeight="true" outlineLevel="0" collapsed="false">
      <c r="A51" s="13" t="n">
        <v>45</v>
      </c>
      <c r="B51" s="14" t="n">
        <v>46320</v>
      </c>
      <c r="C51" s="15" t="s">
        <v>211</v>
      </c>
      <c r="D51" s="16" t="s">
        <v>207</v>
      </c>
      <c r="E51" s="17" t="s">
        <v>18</v>
      </c>
      <c r="F51" s="18" t="s">
        <v>212</v>
      </c>
      <c r="G51" s="18" t="s">
        <v>213</v>
      </c>
      <c r="H51" s="18" t="s">
        <v>77</v>
      </c>
      <c r="I51" s="18" t="s">
        <v>214</v>
      </c>
      <c r="J51" s="19" t="n">
        <v>2.5</v>
      </c>
      <c r="K51" s="18" t="s">
        <v>23</v>
      </c>
      <c r="L51" s="18"/>
    </row>
    <row r="52" customFormat="false" ht="51.75" hidden="false" customHeight="true" outlineLevel="0" collapsed="false">
      <c r="A52" s="6" t="n">
        <v>46</v>
      </c>
      <c r="B52" s="20" t="n">
        <v>46321</v>
      </c>
      <c r="C52" s="8" t="s">
        <v>215</v>
      </c>
      <c r="D52" s="9" t="s">
        <v>207</v>
      </c>
      <c r="E52" s="10" t="s">
        <v>18</v>
      </c>
      <c r="F52" s="11" t="s">
        <v>216</v>
      </c>
      <c r="G52" s="11" t="s">
        <v>217</v>
      </c>
      <c r="H52" s="11" t="s">
        <v>32</v>
      </c>
      <c r="I52" s="11" t="s">
        <v>32</v>
      </c>
      <c r="J52" s="12" t="n">
        <v>1.25</v>
      </c>
      <c r="K52" s="11" t="s">
        <v>23</v>
      </c>
      <c r="L52" s="11"/>
    </row>
    <row r="53" customFormat="false" ht="51.75" hidden="false" customHeight="true" outlineLevel="0" collapsed="false">
      <c r="A53" s="13" t="n">
        <v>47</v>
      </c>
      <c r="B53" s="21" t="n">
        <v>46321</v>
      </c>
      <c r="C53" s="15" t="s">
        <v>218</v>
      </c>
      <c r="D53" s="16" t="s">
        <v>207</v>
      </c>
      <c r="E53" s="17" t="s">
        <v>18</v>
      </c>
      <c r="F53" s="18" t="s">
        <v>219</v>
      </c>
      <c r="G53" s="18" t="s">
        <v>220</v>
      </c>
      <c r="H53" s="22" t="s">
        <v>221</v>
      </c>
      <c r="I53" s="22" t="s">
        <v>222</v>
      </c>
      <c r="J53" s="19" t="n">
        <v>1.5</v>
      </c>
      <c r="K53" s="18" t="s">
        <v>23</v>
      </c>
      <c r="L53" s="18" t="s">
        <v>223</v>
      </c>
    </row>
    <row r="54" customFormat="false" ht="51.75" hidden="false" customHeight="true" outlineLevel="0" collapsed="false">
      <c r="A54" s="13" t="n">
        <v>48</v>
      </c>
      <c r="B54" s="21" t="n">
        <v>46321</v>
      </c>
      <c r="C54" s="15" t="s">
        <v>224</v>
      </c>
      <c r="D54" s="16" t="s">
        <v>225</v>
      </c>
      <c r="E54" s="17" t="s">
        <v>18</v>
      </c>
      <c r="F54" s="18" t="s">
        <v>226</v>
      </c>
      <c r="G54" s="18" t="s">
        <v>227</v>
      </c>
      <c r="H54" s="18" t="s">
        <v>228</v>
      </c>
      <c r="I54" s="18" t="s">
        <v>229</v>
      </c>
      <c r="J54" s="19" t="n">
        <v>1.5</v>
      </c>
      <c r="K54" s="18" t="s">
        <v>23</v>
      </c>
      <c r="L54" s="18"/>
    </row>
    <row r="55" customFormat="false" ht="39" hidden="false" customHeight="true" outlineLevel="0" collapsed="false">
      <c r="A55" s="6" t="n">
        <v>49</v>
      </c>
      <c r="B55" s="7" t="n">
        <v>46322</v>
      </c>
      <c r="C55" s="8" t="s">
        <v>230</v>
      </c>
      <c r="D55" s="9" t="s">
        <v>225</v>
      </c>
      <c r="E55" s="10" t="s">
        <v>18</v>
      </c>
      <c r="F55" s="11" t="s">
        <v>30</v>
      </c>
      <c r="G55" s="11" t="s">
        <v>231</v>
      </c>
      <c r="H55" s="11" t="s">
        <v>32</v>
      </c>
      <c r="I55" s="11" t="s">
        <v>32</v>
      </c>
      <c r="J55" s="12" t="n">
        <v>1.75</v>
      </c>
      <c r="K55" s="11" t="s">
        <v>23</v>
      </c>
      <c r="L55" s="11"/>
    </row>
    <row r="56" customFormat="false" ht="39" hidden="false" customHeight="true" outlineLevel="0" collapsed="false">
      <c r="A56" s="13" t="n">
        <v>50</v>
      </c>
      <c r="B56" s="14" t="n">
        <v>46322</v>
      </c>
      <c r="C56" s="15" t="s">
        <v>232</v>
      </c>
      <c r="D56" s="16" t="s">
        <v>225</v>
      </c>
      <c r="E56" s="17" t="s">
        <v>18</v>
      </c>
      <c r="F56" s="18" t="s">
        <v>30</v>
      </c>
      <c r="G56" s="18" t="s">
        <v>233</v>
      </c>
      <c r="H56" s="18" t="s">
        <v>32</v>
      </c>
      <c r="I56" s="18" t="s">
        <v>32</v>
      </c>
      <c r="J56" s="19" t="n">
        <v>1.5</v>
      </c>
      <c r="K56" s="18" t="s">
        <v>23</v>
      </c>
      <c r="L56" s="18"/>
    </row>
    <row r="57" customFormat="false" ht="39" hidden="false" customHeight="true" outlineLevel="0" collapsed="false">
      <c r="A57" s="13" t="n">
        <v>51</v>
      </c>
      <c r="B57" s="14" t="n">
        <v>46322</v>
      </c>
      <c r="C57" s="15" t="s">
        <v>234</v>
      </c>
      <c r="D57" s="16" t="s">
        <v>17</v>
      </c>
      <c r="E57" s="24" t="s">
        <v>235</v>
      </c>
      <c r="F57" s="18" t="s">
        <v>236</v>
      </c>
      <c r="G57" s="18" t="s">
        <v>237</v>
      </c>
      <c r="H57" s="22" t="s">
        <v>238</v>
      </c>
      <c r="I57" s="22" t="s">
        <v>239</v>
      </c>
      <c r="J57" s="19" t="n">
        <v>2.25</v>
      </c>
      <c r="K57" s="18" t="s">
        <v>23</v>
      </c>
      <c r="L57" s="18"/>
    </row>
    <row r="58" customFormat="false" ht="27" hidden="false" customHeight="true" outlineLevel="0" collapsed="false">
      <c r="A58" s="6" t="n">
        <v>52</v>
      </c>
      <c r="B58" s="20" t="n">
        <v>46323</v>
      </c>
      <c r="C58" s="8" t="s">
        <v>240</v>
      </c>
      <c r="D58" s="9" t="s">
        <v>17</v>
      </c>
      <c r="E58" s="25" t="s">
        <v>235</v>
      </c>
      <c r="F58" s="11" t="s">
        <v>241</v>
      </c>
      <c r="G58" s="11" t="s">
        <v>242</v>
      </c>
      <c r="H58" s="23" t="s">
        <v>243</v>
      </c>
      <c r="I58" s="23" t="s">
        <v>244</v>
      </c>
      <c r="J58" s="12" t="n">
        <v>1.25</v>
      </c>
      <c r="K58" s="11" t="s">
        <v>23</v>
      </c>
      <c r="L58" s="11"/>
    </row>
    <row r="59" customFormat="false" ht="63.75" hidden="false" customHeight="true" outlineLevel="0" collapsed="false">
      <c r="A59" s="13" t="n">
        <v>53</v>
      </c>
      <c r="B59" s="21" t="n">
        <v>46323</v>
      </c>
      <c r="C59" s="15" t="s">
        <v>245</v>
      </c>
      <c r="D59" s="16" t="s">
        <v>17</v>
      </c>
      <c r="E59" s="24" t="s">
        <v>235</v>
      </c>
      <c r="F59" s="18" t="s">
        <v>246</v>
      </c>
      <c r="G59" s="18" t="s">
        <v>247</v>
      </c>
      <c r="H59" s="18" t="s">
        <v>32</v>
      </c>
      <c r="I59" s="18" t="s">
        <v>32</v>
      </c>
      <c r="J59" s="19" t="n">
        <v>1.25</v>
      </c>
      <c r="K59" s="18" t="s">
        <v>23</v>
      </c>
      <c r="L59" s="18"/>
    </row>
    <row r="60" customFormat="false" ht="63.75" hidden="false" customHeight="true" outlineLevel="0" collapsed="false">
      <c r="A60" s="13" t="n">
        <v>54</v>
      </c>
      <c r="B60" s="21" t="n">
        <v>46323</v>
      </c>
      <c r="C60" s="15" t="s">
        <v>248</v>
      </c>
      <c r="D60" s="16" t="s">
        <v>129</v>
      </c>
      <c r="E60" s="24" t="s">
        <v>235</v>
      </c>
      <c r="F60" s="18" t="s">
        <v>249</v>
      </c>
      <c r="G60" s="18" t="s">
        <v>250</v>
      </c>
      <c r="H60" s="22" t="s">
        <v>251</v>
      </c>
      <c r="I60" s="22" t="s">
        <v>252</v>
      </c>
      <c r="J60" s="19" t="n">
        <v>1.5</v>
      </c>
      <c r="K60" s="18" t="s">
        <v>23</v>
      </c>
      <c r="L60" s="18"/>
    </row>
    <row r="61" customFormat="false" ht="51.75" hidden="false" customHeight="true" outlineLevel="0" collapsed="false">
      <c r="A61" s="13" t="n">
        <v>55</v>
      </c>
      <c r="B61" s="21" t="n">
        <v>46323</v>
      </c>
      <c r="C61" s="15" t="s">
        <v>253</v>
      </c>
      <c r="D61" s="16" t="s">
        <v>129</v>
      </c>
      <c r="E61" s="24" t="s">
        <v>235</v>
      </c>
      <c r="F61" s="22" t="s">
        <v>254</v>
      </c>
      <c r="G61" s="22" t="s">
        <v>255</v>
      </c>
      <c r="H61" s="22" t="s">
        <v>130</v>
      </c>
      <c r="I61" s="22" t="s">
        <v>256</v>
      </c>
      <c r="J61" s="19" t="n">
        <v>1</v>
      </c>
      <c r="K61" s="18" t="s">
        <v>23</v>
      </c>
      <c r="L61" s="18"/>
    </row>
    <row r="62" customFormat="false" ht="63.75" hidden="false" customHeight="true" outlineLevel="0" collapsed="false">
      <c r="A62" s="13" t="n">
        <v>56</v>
      </c>
      <c r="B62" s="21" t="n">
        <v>46323</v>
      </c>
      <c r="C62" s="15" t="s">
        <v>257</v>
      </c>
      <c r="D62" s="16" t="s">
        <v>50</v>
      </c>
      <c r="E62" s="24" t="s">
        <v>235</v>
      </c>
      <c r="F62" s="18" t="s">
        <v>80</v>
      </c>
      <c r="G62" s="18" t="s">
        <v>258</v>
      </c>
      <c r="H62" s="18" t="s">
        <v>259</v>
      </c>
      <c r="I62" s="18" t="s">
        <v>260</v>
      </c>
      <c r="J62" s="19" t="n">
        <v>1.5</v>
      </c>
      <c r="K62" s="18" t="s">
        <v>23</v>
      </c>
      <c r="L62" s="18"/>
    </row>
    <row r="63" customFormat="false" ht="39" hidden="false" customHeight="true" outlineLevel="0" collapsed="false">
      <c r="A63" s="6" t="n">
        <v>57</v>
      </c>
      <c r="B63" s="7" t="n">
        <v>46324</v>
      </c>
      <c r="C63" s="8" t="s">
        <v>261</v>
      </c>
      <c r="D63" s="9" t="s">
        <v>50</v>
      </c>
      <c r="E63" s="25" t="s">
        <v>235</v>
      </c>
      <c r="F63" s="11" t="s">
        <v>80</v>
      </c>
      <c r="G63" s="11" t="s">
        <v>262</v>
      </c>
      <c r="H63" s="11" t="s">
        <v>77</v>
      </c>
      <c r="I63" s="11" t="s">
        <v>263</v>
      </c>
      <c r="J63" s="12" t="n">
        <v>1.75</v>
      </c>
      <c r="K63" s="11" t="s">
        <v>23</v>
      </c>
      <c r="L63" s="11"/>
    </row>
    <row r="64" customFormat="false" ht="75.75" hidden="false" customHeight="true" outlineLevel="0" collapsed="false">
      <c r="A64" s="13" t="n">
        <v>58</v>
      </c>
      <c r="B64" s="14" t="n">
        <v>46324</v>
      </c>
      <c r="C64" s="15" t="s">
        <v>264</v>
      </c>
      <c r="D64" s="16" t="s">
        <v>50</v>
      </c>
      <c r="E64" s="24" t="s">
        <v>235</v>
      </c>
      <c r="F64" s="18" t="s">
        <v>265</v>
      </c>
      <c r="G64" s="18" t="s">
        <v>266</v>
      </c>
      <c r="H64" s="18" t="s">
        <v>77</v>
      </c>
      <c r="I64" s="18" t="s">
        <v>267</v>
      </c>
      <c r="J64" s="19" t="n">
        <v>1.75</v>
      </c>
      <c r="K64" s="18" t="s">
        <v>23</v>
      </c>
      <c r="L64" s="18"/>
    </row>
    <row r="65" customFormat="false" ht="63.75" hidden="false" customHeight="true" outlineLevel="0" collapsed="false">
      <c r="A65" s="13" t="n">
        <v>59</v>
      </c>
      <c r="B65" s="14" t="n">
        <v>46324</v>
      </c>
      <c r="C65" s="15" t="s">
        <v>268</v>
      </c>
      <c r="D65" s="16" t="s">
        <v>50</v>
      </c>
      <c r="E65" s="24" t="s">
        <v>235</v>
      </c>
      <c r="F65" s="18" t="s">
        <v>75</v>
      </c>
      <c r="G65" s="18" t="s">
        <v>269</v>
      </c>
      <c r="H65" s="18" t="s">
        <v>120</v>
      </c>
      <c r="I65" s="18" t="s">
        <v>270</v>
      </c>
      <c r="J65" s="19" t="n">
        <v>2.5</v>
      </c>
      <c r="K65" s="18" t="s">
        <v>23</v>
      </c>
      <c r="L65" s="18"/>
    </row>
    <row r="66" customFormat="false" ht="39" hidden="false" customHeight="true" outlineLevel="0" collapsed="false">
      <c r="A66" s="6" t="n">
        <v>60</v>
      </c>
      <c r="B66" s="20" t="n">
        <v>46325</v>
      </c>
      <c r="C66" s="8" t="s">
        <v>271</v>
      </c>
      <c r="D66" s="9" t="s">
        <v>50</v>
      </c>
      <c r="E66" s="25" t="s">
        <v>235</v>
      </c>
      <c r="F66" s="11" t="s">
        <v>272</v>
      </c>
      <c r="G66" s="11" t="s">
        <v>273</v>
      </c>
      <c r="H66" s="11" t="s">
        <v>77</v>
      </c>
      <c r="I66" s="11" t="s">
        <v>274</v>
      </c>
      <c r="J66" s="12" t="n">
        <v>1.5</v>
      </c>
      <c r="K66" s="11" t="s">
        <v>23</v>
      </c>
      <c r="L66" s="11"/>
    </row>
    <row r="67" customFormat="false" ht="27" hidden="false" customHeight="true" outlineLevel="0" collapsed="false">
      <c r="A67" s="13" t="n">
        <v>61</v>
      </c>
      <c r="B67" s="21" t="n">
        <v>46325</v>
      </c>
      <c r="C67" s="15" t="s">
        <v>275</v>
      </c>
      <c r="D67" s="16" t="s">
        <v>50</v>
      </c>
      <c r="E67" s="24" t="s">
        <v>235</v>
      </c>
      <c r="F67" s="18" t="s">
        <v>51</v>
      </c>
      <c r="G67" s="18" t="s">
        <v>276</v>
      </c>
      <c r="H67" s="18" t="s">
        <v>51</v>
      </c>
      <c r="I67" s="18" t="s">
        <v>277</v>
      </c>
      <c r="J67" s="19" t="n">
        <v>1.5</v>
      </c>
      <c r="K67" s="18" t="s">
        <v>23</v>
      </c>
      <c r="L67" s="18"/>
    </row>
    <row r="68" customFormat="false" ht="100.5" hidden="false" customHeight="true" outlineLevel="0" collapsed="false">
      <c r="A68" s="13" t="n">
        <v>62</v>
      </c>
      <c r="B68" s="21" t="n">
        <v>46325</v>
      </c>
      <c r="C68" s="15" t="s">
        <v>278</v>
      </c>
      <c r="D68" s="16" t="s">
        <v>50</v>
      </c>
      <c r="E68" s="24" t="s">
        <v>235</v>
      </c>
      <c r="F68" s="18" t="s">
        <v>279</v>
      </c>
      <c r="G68" s="18" t="s">
        <v>280</v>
      </c>
      <c r="H68" s="18" t="s">
        <v>32</v>
      </c>
      <c r="I68" s="18" t="s">
        <v>32</v>
      </c>
      <c r="J68" s="19" t="n">
        <v>2.5</v>
      </c>
      <c r="K68" s="18" t="s">
        <v>23</v>
      </c>
      <c r="L68" s="18"/>
    </row>
    <row r="69" customFormat="false" ht="63.75" hidden="false" customHeight="true" outlineLevel="0" collapsed="false">
      <c r="A69" s="6" t="n">
        <v>63</v>
      </c>
      <c r="B69" s="7" t="n">
        <v>46326</v>
      </c>
      <c r="C69" s="8" t="s">
        <v>281</v>
      </c>
      <c r="D69" s="9" t="s">
        <v>93</v>
      </c>
      <c r="E69" s="25" t="s">
        <v>235</v>
      </c>
      <c r="F69" s="23" t="s">
        <v>282</v>
      </c>
      <c r="G69" s="23" t="s">
        <v>283</v>
      </c>
      <c r="H69" s="11" t="s">
        <v>32</v>
      </c>
      <c r="I69" s="11" t="s">
        <v>32</v>
      </c>
      <c r="J69" s="12" t="n">
        <v>1.25</v>
      </c>
      <c r="K69" s="11" t="s">
        <v>23</v>
      </c>
      <c r="L69" s="11"/>
    </row>
    <row r="70" customFormat="false" ht="51.75" hidden="false" customHeight="true" outlineLevel="0" collapsed="false">
      <c r="A70" s="13" t="n">
        <v>64</v>
      </c>
      <c r="B70" s="14" t="n">
        <v>46326</v>
      </c>
      <c r="C70" s="15" t="s">
        <v>284</v>
      </c>
      <c r="D70" s="16" t="s">
        <v>119</v>
      </c>
      <c r="E70" s="24" t="s">
        <v>235</v>
      </c>
      <c r="F70" s="18" t="s">
        <v>285</v>
      </c>
      <c r="G70" s="18" t="s">
        <v>286</v>
      </c>
      <c r="H70" s="18" t="s">
        <v>155</v>
      </c>
      <c r="I70" s="18" t="s">
        <v>287</v>
      </c>
      <c r="J70" s="19" t="n">
        <v>0.75</v>
      </c>
      <c r="K70" s="18" t="s">
        <v>23</v>
      </c>
      <c r="L70" s="18"/>
    </row>
    <row r="71" customFormat="false" ht="63.75" hidden="false" customHeight="true" outlineLevel="0" collapsed="false">
      <c r="A71" s="13" t="n">
        <v>65</v>
      </c>
      <c r="B71" s="14" t="n">
        <v>46326</v>
      </c>
      <c r="C71" s="15" t="s">
        <v>288</v>
      </c>
      <c r="D71" s="16" t="s">
        <v>119</v>
      </c>
      <c r="E71" s="24" t="s">
        <v>235</v>
      </c>
      <c r="F71" s="18" t="s">
        <v>289</v>
      </c>
      <c r="G71" s="18" t="s">
        <v>290</v>
      </c>
      <c r="H71" s="18" t="s">
        <v>32</v>
      </c>
      <c r="I71" s="18" t="s">
        <v>32</v>
      </c>
      <c r="J71" s="19" t="n">
        <v>1.25</v>
      </c>
      <c r="K71" s="18" t="s">
        <v>23</v>
      </c>
      <c r="L71" s="18"/>
    </row>
    <row r="72" customFormat="false" ht="63.75" hidden="false" customHeight="true" outlineLevel="0" collapsed="false">
      <c r="A72" s="13" t="n">
        <v>66</v>
      </c>
      <c r="B72" s="14" t="n">
        <v>46326</v>
      </c>
      <c r="C72" s="15" t="s">
        <v>291</v>
      </c>
      <c r="D72" s="16" t="s">
        <v>119</v>
      </c>
      <c r="E72" s="24" t="s">
        <v>235</v>
      </c>
      <c r="F72" s="18" t="s">
        <v>292</v>
      </c>
      <c r="G72" s="18" t="s">
        <v>293</v>
      </c>
      <c r="H72" s="18" t="s">
        <v>120</v>
      </c>
      <c r="I72" s="18" t="s">
        <v>294</v>
      </c>
      <c r="J72" s="19" t="n">
        <v>2</v>
      </c>
      <c r="K72" s="18" t="s">
        <v>23</v>
      </c>
      <c r="L72" s="18"/>
    </row>
    <row r="73" customFormat="false" ht="51.75" hidden="false" customHeight="true" outlineLevel="0" collapsed="false">
      <c r="A73" s="6" t="n">
        <v>67</v>
      </c>
      <c r="B73" s="20" t="n">
        <v>46327</v>
      </c>
      <c r="C73" s="8" t="s">
        <v>295</v>
      </c>
      <c r="D73" s="9" t="s">
        <v>173</v>
      </c>
      <c r="E73" s="25" t="s">
        <v>235</v>
      </c>
      <c r="F73" s="11" t="s">
        <v>296</v>
      </c>
      <c r="G73" s="11" t="s">
        <v>297</v>
      </c>
      <c r="H73" s="11" t="s">
        <v>298</v>
      </c>
      <c r="I73" s="11" t="s">
        <v>299</v>
      </c>
      <c r="J73" s="12" t="n">
        <v>1.5</v>
      </c>
      <c r="K73" s="11" t="s">
        <v>23</v>
      </c>
      <c r="L73" s="11"/>
    </row>
    <row r="74" customFormat="false" ht="87.75" hidden="false" customHeight="true" outlineLevel="0" collapsed="false">
      <c r="A74" s="13" t="n">
        <v>68</v>
      </c>
      <c r="B74" s="21" t="n">
        <v>46327</v>
      </c>
      <c r="C74" s="15" t="s">
        <v>300</v>
      </c>
      <c r="D74" s="16" t="s">
        <v>173</v>
      </c>
      <c r="E74" s="24" t="s">
        <v>235</v>
      </c>
      <c r="F74" s="18" t="s">
        <v>301</v>
      </c>
      <c r="G74" s="18" t="s">
        <v>302</v>
      </c>
      <c r="H74" s="18" t="s">
        <v>77</v>
      </c>
      <c r="I74" s="18" t="s">
        <v>303</v>
      </c>
      <c r="J74" s="19" t="n">
        <v>1.5</v>
      </c>
      <c r="K74" s="18" t="s">
        <v>23</v>
      </c>
      <c r="L74" s="18"/>
    </row>
    <row r="75" customFormat="false" ht="27" hidden="false" customHeight="true" outlineLevel="0" collapsed="false">
      <c r="A75" s="13" t="n">
        <v>69</v>
      </c>
      <c r="B75" s="21" t="n">
        <v>46327</v>
      </c>
      <c r="C75" s="15" t="s">
        <v>304</v>
      </c>
      <c r="D75" s="16" t="s">
        <v>93</v>
      </c>
      <c r="E75" s="24" t="s">
        <v>235</v>
      </c>
      <c r="F75" s="22" t="s">
        <v>305</v>
      </c>
      <c r="G75" s="22" t="s">
        <v>306</v>
      </c>
      <c r="H75" s="18" t="s">
        <v>32</v>
      </c>
      <c r="I75" s="18" t="s">
        <v>32</v>
      </c>
      <c r="J75" s="19" t="n">
        <v>0.5</v>
      </c>
      <c r="K75" s="18" t="s">
        <v>23</v>
      </c>
      <c r="L75" s="18"/>
    </row>
    <row r="76" customFormat="false" ht="51.75" hidden="false" customHeight="true" outlineLevel="0" collapsed="false">
      <c r="A76" s="13" t="n">
        <v>70</v>
      </c>
      <c r="B76" s="21" t="n">
        <v>46327</v>
      </c>
      <c r="C76" s="15" t="s">
        <v>307</v>
      </c>
      <c r="D76" s="16" t="s">
        <v>198</v>
      </c>
      <c r="E76" s="24" t="s">
        <v>235</v>
      </c>
      <c r="F76" s="18" t="s">
        <v>308</v>
      </c>
      <c r="G76" s="18" t="s">
        <v>309</v>
      </c>
      <c r="H76" s="18" t="s">
        <v>310</v>
      </c>
      <c r="I76" s="18" t="s">
        <v>311</v>
      </c>
      <c r="J76" s="19" t="n">
        <v>2</v>
      </c>
      <c r="K76" s="18" t="s">
        <v>23</v>
      </c>
      <c r="L76" s="18"/>
    </row>
    <row r="77" customFormat="false" ht="87.75" hidden="false" customHeight="true" outlineLevel="0" collapsed="false">
      <c r="A77" s="6" t="n">
        <v>71</v>
      </c>
      <c r="B77" s="7" t="n">
        <v>46328</v>
      </c>
      <c r="C77" s="8" t="s">
        <v>312</v>
      </c>
      <c r="D77" s="9" t="s">
        <v>198</v>
      </c>
      <c r="E77" s="25" t="s">
        <v>235</v>
      </c>
      <c r="F77" s="11" t="s">
        <v>313</v>
      </c>
      <c r="G77" s="11" t="s">
        <v>314</v>
      </c>
      <c r="H77" s="11" t="s">
        <v>32</v>
      </c>
      <c r="I77" s="11" t="s">
        <v>32</v>
      </c>
      <c r="J77" s="12" t="n">
        <v>2</v>
      </c>
      <c r="K77" s="11" t="s">
        <v>23</v>
      </c>
      <c r="L77" s="11"/>
    </row>
    <row r="78" customFormat="false" ht="75.75" hidden="false" customHeight="true" outlineLevel="0" collapsed="false">
      <c r="A78" s="13" t="n">
        <v>72</v>
      </c>
      <c r="B78" s="14" t="n">
        <v>46328</v>
      </c>
      <c r="C78" s="15" t="s">
        <v>315</v>
      </c>
      <c r="D78" s="16" t="s">
        <v>207</v>
      </c>
      <c r="E78" s="24" t="s">
        <v>235</v>
      </c>
      <c r="F78" s="18" t="s">
        <v>316</v>
      </c>
      <c r="G78" s="18" t="s">
        <v>317</v>
      </c>
      <c r="H78" s="22" t="s">
        <v>318</v>
      </c>
      <c r="I78" s="22" t="s">
        <v>319</v>
      </c>
      <c r="J78" s="19" t="n">
        <v>2</v>
      </c>
      <c r="K78" s="18" t="s">
        <v>23</v>
      </c>
      <c r="L78" s="18"/>
    </row>
    <row r="79" customFormat="false" ht="39" hidden="false" customHeight="true" outlineLevel="0" collapsed="false">
      <c r="A79" s="13" t="n">
        <v>73</v>
      </c>
      <c r="B79" s="14" t="n">
        <v>46328</v>
      </c>
      <c r="C79" s="15" t="s">
        <v>320</v>
      </c>
      <c r="D79" s="16" t="s">
        <v>207</v>
      </c>
      <c r="E79" s="24" t="s">
        <v>235</v>
      </c>
      <c r="F79" s="18" t="s">
        <v>321</v>
      </c>
      <c r="G79" s="18" t="s">
        <v>322</v>
      </c>
      <c r="H79" s="18" t="s">
        <v>323</v>
      </c>
      <c r="I79" s="18" t="s">
        <v>324</v>
      </c>
      <c r="J79" s="19" t="n">
        <v>1.75</v>
      </c>
      <c r="K79" s="18" t="s">
        <v>23</v>
      </c>
      <c r="L79" s="18"/>
    </row>
    <row r="80" customFormat="false" ht="51.75" hidden="false" customHeight="true" outlineLevel="0" collapsed="false">
      <c r="A80" s="13" t="n">
        <v>74</v>
      </c>
      <c r="B80" s="14" t="n">
        <v>46328</v>
      </c>
      <c r="C80" s="15" t="s">
        <v>325</v>
      </c>
      <c r="D80" s="16" t="s">
        <v>207</v>
      </c>
      <c r="E80" s="24" t="s">
        <v>235</v>
      </c>
      <c r="F80" s="18" t="s">
        <v>321</v>
      </c>
      <c r="G80" s="18" t="s">
        <v>326</v>
      </c>
      <c r="H80" s="22" t="s">
        <v>327</v>
      </c>
      <c r="I80" s="22" t="s">
        <v>328</v>
      </c>
      <c r="J80" s="19" t="n">
        <v>1</v>
      </c>
      <c r="K80" s="18" t="s">
        <v>23</v>
      </c>
      <c r="L80" s="18"/>
    </row>
    <row r="81" customFormat="false" ht="39" hidden="false" customHeight="true" outlineLevel="0" collapsed="false">
      <c r="A81" s="6" t="n">
        <v>75</v>
      </c>
      <c r="B81" s="20" t="n">
        <v>46329</v>
      </c>
      <c r="C81" s="8" t="s">
        <v>329</v>
      </c>
      <c r="D81" s="9" t="s">
        <v>225</v>
      </c>
      <c r="E81" s="25" t="s">
        <v>235</v>
      </c>
      <c r="F81" s="11" t="s">
        <v>330</v>
      </c>
      <c r="G81" s="11" t="s">
        <v>331</v>
      </c>
      <c r="H81" s="11" t="s">
        <v>32</v>
      </c>
      <c r="I81" s="11" t="s">
        <v>32</v>
      </c>
      <c r="J81" s="12" t="n">
        <v>2</v>
      </c>
      <c r="K81" s="11" t="s">
        <v>23</v>
      </c>
      <c r="L81" s="11"/>
    </row>
    <row r="82" customFormat="false" ht="39" hidden="false" customHeight="true" outlineLevel="0" collapsed="false">
      <c r="A82" s="13" t="n">
        <v>76</v>
      </c>
      <c r="B82" s="21" t="n">
        <v>46329</v>
      </c>
      <c r="C82" s="15" t="s">
        <v>332</v>
      </c>
      <c r="D82" s="16" t="s">
        <v>225</v>
      </c>
      <c r="E82" s="24" t="s">
        <v>235</v>
      </c>
      <c r="F82" s="18" t="s">
        <v>30</v>
      </c>
      <c r="G82" s="18" t="s">
        <v>333</v>
      </c>
      <c r="H82" s="22" t="s">
        <v>334</v>
      </c>
      <c r="I82" s="22" t="s">
        <v>335</v>
      </c>
      <c r="J82" s="19" t="n">
        <v>1.5</v>
      </c>
      <c r="K82" s="18" t="s">
        <v>23</v>
      </c>
      <c r="L82" s="18"/>
    </row>
    <row r="83" customFormat="false" ht="27" hidden="false" customHeight="true" outlineLevel="0" collapsed="false">
      <c r="A83" s="13" t="n">
        <v>77</v>
      </c>
      <c r="B83" s="21" t="n">
        <v>46329</v>
      </c>
      <c r="C83" s="15" t="s">
        <v>336</v>
      </c>
      <c r="D83" s="16" t="s">
        <v>225</v>
      </c>
      <c r="E83" s="24" t="s">
        <v>235</v>
      </c>
      <c r="F83" s="22" t="s">
        <v>337</v>
      </c>
      <c r="G83" s="22" t="s">
        <v>338</v>
      </c>
      <c r="H83" s="18" t="s">
        <v>32</v>
      </c>
      <c r="I83" s="18" t="s">
        <v>32</v>
      </c>
      <c r="J83" s="19" t="n">
        <v>1.25</v>
      </c>
      <c r="K83" s="18" t="s">
        <v>23</v>
      </c>
      <c r="L83" s="18"/>
    </row>
  </sheetData>
  <autoFilter ref="A6:L83"/>
  <conditionalFormatting sqref="B7:L83">
    <cfRule type="expression" priority="2" aboveAverage="0" equalAverage="0" bottom="0" percent="0" rank="0" text="" dxfId="11">
      <formula>$K7="Done"</formula>
    </cfRule>
    <cfRule type="expression" priority="3" aboveAverage="0" equalAverage="0" bottom="0" percent="0" rank="0" text="" dxfId="12">
      <formula>$K7="Revise again"</formula>
    </cfRule>
  </conditionalFormatting>
  <dataValidations count="1">
    <dataValidation allowBlank="true" errorStyle="stop" operator="between" showDropDown="false" showErrorMessage="false" showInputMessage="false" sqref="K7:K83" type="list">
      <formula1>"Not started,In progress,Done,Revise again"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32"/>
    <col collapsed="false" customWidth="true" hidden="false" outlineLevel="0" max="5" min="5" style="1" width="20"/>
    <col collapsed="false" customWidth="true" hidden="false" outlineLevel="0" max="6" min="6" style="1" width="10"/>
    <col collapsed="false" customWidth="true" hidden="false" outlineLevel="0" max="7" min="7" style="1" width="40"/>
    <col collapsed="false" customWidth="true" hidden="false" outlineLevel="0" max="8" min="8" style="1" width="58"/>
    <col collapsed="false" customWidth="true" hidden="false" outlineLevel="0" max="9" min="9" style="1" width="34"/>
    <col collapsed="false" customWidth="true" hidden="false" outlineLevel="0" max="10" min="10" style="1" width="46"/>
    <col collapsed="false" customWidth="true" hidden="false" outlineLevel="0" max="11" min="11" style="1" width="8"/>
    <col collapsed="false" customWidth="true" hidden="false" outlineLevel="0" max="12" min="12" style="1" width="13"/>
    <col collapsed="false" customWidth="true" hidden="false" outlineLevel="0" max="13" min="13" style="1" width="24"/>
  </cols>
  <sheetData>
    <row r="1" customFormat="false" ht="19.5" hidden="false" customHeight="true" outlineLevel="0" collapsed="false">
      <c r="A1" s="2" t="s">
        <v>339</v>
      </c>
      <c r="G1" s="3" t="str">
        <f aca="false">"Rows done: "&amp;COUNTIF(L7:L76,"Done")&amp;" / "&amp;COUNTA(L7:L76)&amp;"   ("&amp;TEXT(COUNTIF(L7:L76,"Done")/COUNTA(L7:L76),"0%")&amp;")"</f>
        <v>Rows done: 0 / 70   (0%)</v>
      </c>
    </row>
    <row r="2" customFormat="false" ht="13.5" hidden="false" customHeight="true" outlineLevel="0" collapsed="false">
      <c r="A2" s="4" t="s">
        <v>340</v>
      </c>
    </row>
    <row r="3" customFormat="false" ht="13.5" hidden="false" customHeight="true" outlineLevel="0" collapsed="false">
      <c r="A3" s="4" t="s">
        <v>341</v>
      </c>
    </row>
    <row r="4" customFormat="false" ht="13.5" hidden="false" customHeight="true" outlineLevel="0" collapsed="false">
      <c r="A4" s="4" t="s">
        <v>342</v>
      </c>
    </row>
    <row r="6" customFormat="false" ht="30" hidden="false" customHeight="true" outlineLevel="0" collapsed="false">
      <c r="A6" s="5" t="s">
        <v>4</v>
      </c>
      <c r="B6" s="5" t="s">
        <v>5</v>
      </c>
      <c r="C6" s="5" t="s">
        <v>343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</row>
    <row r="7" customFormat="false" ht="39" hidden="false" customHeight="true" outlineLevel="0" collapsed="false">
      <c r="A7" s="6" t="n">
        <v>1</v>
      </c>
      <c r="B7" s="7" t="n">
        <v>46308</v>
      </c>
      <c r="C7" s="26" t="s">
        <v>344</v>
      </c>
      <c r="D7" s="8" t="s">
        <v>345</v>
      </c>
      <c r="E7" s="9" t="s">
        <v>346</v>
      </c>
      <c r="F7" s="10" t="s">
        <v>18</v>
      </c>
      <c r="G7" s="11" t="s">
        <v>347</v>
      </c>
      <c r="H7" s="11" t="s">
        <v>348</v>
      </c>
      <c r="I7" s="11" t="s">
        <v>349</v>
      </c>
      <c r="J7" s="11" t="s">
        <v>350</v>
      </c>
      <c r="K7" s="12" t="n">
        <v>2.75</v>
      </c>
      <c r="L7" s="11" t="s">
        <v>23</v>
      </c>
      <c r="M7" s="11"/>
    </row>
    <row r="8" customFormat="false" ht="39" hidden="false" customHeight="true" outlineLevel="0" collapsed="false">
      <c r="A8" s="13" t="n">
        <v>2</v>
      </c>
      <c r="B8" s="14" t="n">
        <v>46308</v>
      </c>
      <c r="C8" s="27" t="s">
        <v>351</v>
      </c>
      <c r="D8" s="15" t="s">
        <v>352</v>
      </c>
      <c r="E8" s="16" t="s">
        <v>353</v>
      </c>
      <c r="F8" s="17" t="s">
        <v>18</v>
      </c>
      <c r="G8" s="18" t="s">
        <v>354</v>
      </c>
      <c r="H8" s="18" t="s">
        <v>355</v>
      </c>
      <c r="I8" s="18" t="s">
        <v>356</v>
      </c>
      <c r="J8" s="18" t="s">
        <v>357</v>
      </c>
      <c r="K8" s="19" t="n">
        <v>2.25</v>
      </c>
      <c r="L8" s="18" t="s">
        <v>23</v>
      </c>
      <c r="M8" s="18"/>
    </row>
    <row r="9" customFormat="false" ht="27" hidden="false" customHeight="true" outlineLevel="0" collapsed="false">
      <c r="A9" s="13" t="n">
        <v>3</v>
      </c>
      <c r="B9" s="14" t="n">
        <v>46308</v>
      </c>
      <c r="C9" s="27" t="s">
        <v>351</v>
      </c>
      <c r="D9" s="15" t="s">
        <v>358</v>
      </c>
      <c r="E9" s="16" t="s">
        <v>353</v>
      </c>
      <c r="F9" s="17" t="s">
        <v>18</v>
      </c>
      <c r="G9" s="18" t="s">
        <v>354</v>
      </c>
      <c r="H9" s="18" t="s">
        <v>359</v>
      </c>
      <c r="I9" s="18" t="s">
        <v>77</v>
      </c>
      <c r="J9" s="18" t="s">
        <v>360</v>
      </c>
      <c r="K9" s="19" t="n">
        <v>2.25</v>
      </c>
      <c r="L9" s="18" t="s">
        <v>23</v>
      </c>
      <c r="M9" s="18"/>
    </row>
    <row r="10" customFormat="false" ht="27" hidden="false" customHeight="true" outlineLevel="0" collapsed="false">
      <c r="A10" s="6" t="n">
        <v>4</v>
      </c>
      <c r="B10" s="20" t="n">
        <v>46309</v>
      </c>
      <c r="C10" s="26" t="s">
        <v>344</v>
      </c>
      <c r="D10" s="8" t="s">
        <v>361</v>
      </c>
      <c r="E10" s="9" t="s">
        <v>362</v>
      </c>
      <c r="F10" s="10" t="s">
        <v>18</v>
      </c>
      <c r="G10" s="23" t="s">
        <v>363</v>
      </c>
      <c r="H10" s="23" t="s">
        <v>364</v>
      </c>
      <c r="I10" s="11" t="s">
        <v>349</v>
      </c>
      <c r="J10" s="11" t="s">
        <v>365</v>
      </c>
      <c r="K10" s="12" t="n">
        <v>1.75</v>
      </c>
      <c r="L10" s="11" t="s">
        <v>23</v>
      </c>
      <c r="M10" s="11"/>
    </row>
    <row r="11" customFormat="false" ht="39" hidden="false" customHeight="true" outlineLevel="0" collapsed="false">
      <c r="A11" s="13" t="n">
        <v>5</v>
      </c>
      <c r="B11" s="21" t="n">
        <v>46309</v>
      </c>
      <c r="C11" s="27" t="s">
        <v>351</v>
      </c>
      <c r="D11" s="15" t="s">
        <v>366</v>
      </c>
      <c r="E11" s="16" t="s">
        <v>353</v>
      </c>
      <c r="F11" s="17" t="s">
        <v>18</v>
      </c>
      <c r="G11" s="18" t="s">
        <v>354</v>
      </c>
      <c r="H11" s="18" t="s">
        <v>367</v>
      </c>
      <c r="I11" s="18" t="s">
        <v>356</v>
      </c>
      <c r="J11" s="18" t="s">
        <v>368</v>
      </c>
      <c r="K11" s="19" t="n">
        <v>1.5</v>
      </c>
      <c r="L11" s="18" t="s">
        <v>23</v>
      </c>
      <c r="M11" s="18"/>
    </row>
    <row r="12" customFormat="false" ht="51.75" hidden="false" customHeight="true" outlineLevel="0" collapsed="false">
      <c r="A12" s="13" t="n">
        <v>6</v>
      </c>
      <c r="B12" s="21" t="n">
        <v>46309</v>
      </c>
      <c r="C12" s="27" t="s">
        <v>351</v>
      </c>
      <c r="D12" s="15" t="s">
        <v>369</v>
      </c>
      <c r="E12" s="16" t="s">
        <v>370</v>
      </c>
      <c r="F12" s="17" t="s">
        <v>18</v>
      </c>
      <c r="G12" s="18" t="s">
        <v>371</v>
      </c>
      <c r="H12" s="18" t="s">
        <v>372</v>
      </c>
      <c r="I12" s="18" t="s">
        <v>32</v>
      </c>
      <c r="J12" s="18" t="s">
        <v>32</v>
      </c>
      <c r="K12" s="19" t="n">
        <v>1.5</v>
      </c>
      <c r="L12" s="18" t="s">
        <v>23</v>
      </c>
      <c r="M12" s="18"/>
    </row>
    <row r="13" customFormat="false" ht="27" hidden="false" customHeight="true" outlineLevel="0" collapsed="false">
      <c r="A13" s="6" t="n">
        <v>7</v>
      </c>
      <c r="B13" s="7" t="n">
        <v>46310</v>
      </c>
      <c r="C13" s="26" t="s">
        <v>344</v>
      </c>
      <c r="D13" s="8" t="s">
        <v>373</v>
      </c>
      <c r="E13" s="9" t="s">
        <v>362</v>
      </c>
      <c r="F13" s="10" t="s">
        <v>18</v>
      </c>
      <c r="G13" s="23" t="s">
        <v>363</v>
      </c>
      <c r="H13" s="23" t="s">
        <v>374</v>
      </c>
      <c r="I13" s="11" t="s">
        <v>32</v>
      </c>
      <c r="J13" s="11" t="s">
        <v>32</v>
      </c>
      <c r="K13" s="12" t="n">
        <v>2.5</v>
      </c>
      <c r="L13" s="11" t="s">
        <v>23</v>
      </c>
      <c r="M13" s="11"/>
    </row>
    <row r="14" customFormat="false" ht="27" hidden="false" customHeight="true" outlineLevel="0" collapsed="false">
      <c r="A14" s="13" t="n">
        <v>8</v>
      </c>
      <c r="B14" s="14" t="n">
        <v>46310</v>
      </c>
      <c r="C14" s="27" t="s">
        <v>351</v>
      </c>
      <c r="D14" s="15" t="s">
        <v>375</v>
      </c>
      <c r="E14" s="16" t="s">
        <v>376</v>
      </c>
      <c r="F14" s="17" t="s">
        <v>18</v>
      </c>
      <c r="G14" s="18" t="s">
        <v>377</v>
      </c>
      <c r="H14" s="18" t="s">
        <v>378</v>
      </c>
      <c r="I14" s="18" t="s">
        <v>77</v>
      </c>
      <c r="J14" s="18" t="s">
        <v>379</v>
      </c>
      <c r="K14" s="19" t="n">
        <v>2</v>
      </c>
      <c r="L14" s="18" t="s">
        <v>23</v>
      </c>
      <c r="M14" s="18"/>
    </row>
    <row r="15" customFormat="false" ht="39" hidden="false" customHeight="true" outlineLevel="0" collapsed="false">
      <c r="A15" s="6" t="n">
        <v>9</v>
      </c>
      <c r="B15" s="20" t="n">
        <v>46311</v>
      </c>
      <c r="C15" s="26" t="s">
        <v>344</v>
      </c>
      <c r="D15" s="8" t="s">
        <v>380</v>
      </c>
      <c r="E15" s="9" t="s">
        <v>381</v>
      </c>
      <c r="F15" s="10" t="s">
        <v>18</v>
      </c>
      <c r="G15" s="11" t="s">
        <v>382</v>
      </c>
      <c r="H15" s="11" t="s">
        <v>383</v>
      </c>
      <c r="I15" s="11" t="s">
        <v>384</v>
      </c>
      <c r="J15" s="11" t="s">
        <v>385</v>
      </c>
      <c r="K15" s="12" t="n">
        <v>2</v>
      </c>
      <c r="L15" s="11" t="s">
        <v>23</v>
      </c>
      <c r="M15" s="11"/>
    </row>
    <row r="16" customFormat="false" ht="39" hidden="false" customHeight="true" outlineLevel="0" collapsed="false">
      <c r="A16" s="13" t="n">
        <v>10</v>
      </c>
      <c r="B16" s="21" t="n">
        <v>46311</v>
      </c>
      <c r="C16" s="27" t="s">
        <v>351</v>
      </c>
      <c r="D16" s="15" t="s">
        <v>386</v>
      </c>
      <c r="E16" s="16" t="s">
        <v>376</v>
      </c>
      <c r="F16" s="17" t="s">
        <v>18</v>
      </c>
      <c r="G16" s="18" t="s">
        <v>377</v>
      </c>
      <c r="H16" s="18" t="s">
        <v>387</v>
      </c>
      <c r="I16" s="18" t="s">
        <v>388</v>
      </c>
      <c r="J16" s="18" t="s">
        <v>389</v>
      </c>
      <c r="K16" s="19" t="n">
        <v>2.5</v>
      </c>
      <c r="L16" s="18" t="s">
        <v>23</v>
      </c>
      <c r="M16" s="18"/>
    </row>
    <row r="17" customFormat="false" ht="27" hidden="false" customHeight="true" outlineLevel="0" collapsed="false">
      <c r="A17" s="13" t="n">
        <v>11</v>
      </c>
      <c r="B17" s="21" t="n">
        <v>46311</v>
      </c>
      <c r="C17" s="27" t="s">
        <v>351</v>
      </c>
      <c r="D17" s="15" t="s">
        <v>390</v>
      </c>
      <c r="E17" s="16" t="s">
        <v>376</v>
      </c>
      <c r="F17" s="17" t="s">
        <v>18</v>
      </c>
      <c r="G17" s="18" t="s">
        <v>377</v>
      </c>
      <c r="H17" s="18" t="s">
        <v>391</v>
      </c>
      <c r="I17" s="18" t="s">
        <v>77</v>
      </c>
      <c r="J17" s="18" t="s">
        <v>392</v>
      </c>
      <c r="K17" s="19" t="n">
        <v>1.75</v>
      </c>
      <c r="L17" s="18" t="s">
        <v>23</v>
      </c>
      <c r="M17" s="18"/>
    </row>
    <row r="18" customFormat="false" ht="39" hidden="false" customHeight="true" outlineLevel="0" collapsed="false">
      <c r="A18" s="6" t="n">
        <v>12</v>
      </c>
      <c r="B18" s="7" t="n">
        <v>46312</v>
      </c>
      <c r="C18" s="26" t="s">
        <v>344</v>
      </c>
      <c r="D18" s="8" t="s">
        <v>393</v>
      </c>
      <c r="E18" s="9" t="s">
        <v>362</v>
      </c>
      <c r="F18" s="10" t="s">
        <v>18</v>
      </c>
      <c r="G18" s="23" t="s">
        <v>363</v>
      </c>
      <c r="H18" s="23" t="s">
        <v>394</v>
      </c>
      <c r="I18" s="11" t="s">
        <v>32</v>
      </c>
      <c r="J18" s="11" t="s">
        <v>32</v>
      </c>
      <c r="K18" s="12" t="n">
        <v>1.75</v>
      </c>
      <c r="L18" s="11" t="s">
        <v>23</v>
      </c>
      <c r="M18" s="11"/>
    </row>
    <row r="19" customFormat="false" ht="27" hidden="false" customHeight="true" outlineLevel="0" collapsed="false">
      <c r="A19" s="13" t="n">
        <v>13</v>
      </c>
      <c r="B19" s="14" t="n">
        <v>46312</v>
      </c>
      <c r="C19" s="27" t="s">
        <v>351</v>
      </c>
      <c r="D19" s="15" t="s">
        <v>395</v>
      </c>
      <c r="E19" s="16" t="s">
        <v>396</v>
      </c>
      <c r="F19" s="17" t="s">
        <v>18</v>
      </c>
      <c r="G19" s="18" t="s">
        <v>377</v>
      </c>
      <c r="H19" s="18" t="s">
        <v>397</v>
      </c>
      <c r="I19" s="18" t="s">
        <v>77</v>
      </c>
      <c r="J19" s="18" t="s">
        <v>398</v>
      </c>
      <c r="K19" s="19" t="n">
        <v>2</v>
      </c>
      <c r="L19" s="18" t="s">
        <v>23</v>
      </c>
      <c r="M19" s="18"/>
    </row>
    <row r="20" customFormat="false" ht="27" hidden="false" customHeight="true" outlineLevel="0" collapsed="false">
      <c r="A20" s="13" t="n">
        <v>14</v>
      </c>
      <c r="B20" s="14" t="n">
        <v>46312</v>
      </c>
      <c r="C20" s="27" t="s">
        <v>351</v>
      </c>
      <c r="D20" s="15" t="s">
        <v>399</v>
      </c>
      <c r="E20" s="16" t="s">
        <v>396</v>
      </c>
      <c r="F20" s="17" t="s">
        <v>18</v>
      </c>
      <c r="G20" s="18" t="s">
        <v>377</v>
      </c>
      <c r="H20" s="18" t="s">
        <v>400</v>
      </c>
      <c r="I20" s="18" t="s">
        <v>32</v>
      </c>
      <c r="J20" s="18" t="s">
        <v>32</v>
      </c>
      <c r="K20" s="19" t="n">
        <v>2.25</v>
      </c>
      <c r="L20" s="18" t="s">
        <v>23</v>
      </c>
      <c r="M20" s="18"/>
    </row>
    <row r="21" customFormat="false" ht="39" hidden="false" customHeight="true" outlineLevel="0" collapsed="false">
      <c r="A21" s="6" t="n">
        <v>15</v>
      </c>
      <c r="B21" s="20" t="n">
        <v>46313</v>
      </c>
      <c r="C21" s="26" t="s">
        <v>344</v>
      </c>
      <c r="D21" s="8" t="s">
        <v>401</v>
      </c>
      <c r="E21" s="9" t="s">
        <v>381</v>
      </c>
      <c r="F21" s="10" t="s">
        <v>18</v>
      </c>
      <c r="G21" s="11" t="s">
        <v>382</v>
      </c>
      <c r="H21" s="11" t="s">
        <v>402</v>
      </c>
      <c r="I21" s="11" t="s">
        <v>32</v>
      </c>
      <c r="J21" s="11" t="s">
        <v>32</v>
      </c>
      <c r="K21" s="12" t="n">
        <v>2</v>
      </c>
      <c r="L21" s="11" t="s">
        <v>23</v>
      </c>
      <c r="M21" s="11"/>
    </row>
    <row r="22" customFormat="false" ht="27" hidden="false" customHeight="true" outlineLevel="0" collapsed="false">
      <c r="A22" s="13" t="n">
        <v>16</v>
      </c>
      <c r="B22" s="21" t="n">
        <v>46313</v>
      </c>
      <c r="C22" s="28" t="s">
        <v>344</v>
      </c>
      <c r="D22" s="15" t="s">
        <v>403</v>
      </c>
      <c r="E22" s="16" t="s">
        <v>362</v>
      </c>
      <c r="F22" s="17" t="s">
        <v>18</v>
      </c>
      <c r="G22" s="22" t="s">
        <v>363</v>
      </c>
      <c r="H22" s="22" t="s">
        <v>404</v>
      </c>
      <c r="I22" s="18" t="s">
        <v>32</v>
      </c>
      <c r="J22" s="18" t="s">
        <v>32</v>
      </c>
      <c r="K22" s="19" t="n">
        <v>2</v>
      </c>
      <c r="L22" s="18" t="s">
        <v>23</v>
      </c>
      <c r="M22" s="18"/>
    </row>
    <row r="23" customFormat="false" ht="27" hidden="false" customHeight="true" outlineLevel="0" collapsed="false">
      <c r="A23" s="13" t="n">
        <v>17</v>
      </c>
      <c r="B23" s="21" t="n">
        <v>46313</v>
      </c>
      <c r="C23" s="27" t="s">
        <v>351</v>
      </c>
      <c r="D23" s="15" t="s">
        <v>405</v>
      </c>
      <c r="E23" s="16" t="s">
        <v>370</v>
      </c>
      <c r="F23" s="17" t="s">
        <v>18</v>
      </c>
      <c r="G23" s="18" t="s">
        <v>51</v>
      </c>
      <c r="H23" s="18" t="s">
        <v>406</v>
      </c>
      <c r="I23" s="18" t="s">
        <v>32</v>
      </c>
      <c r="J23" s="18" t="s">
        <v>32</v>
      </c>
      <c r="K23" s="19" t="n">
        <v>1.75</v>
      </c>
      <c r="L23" s="18" t="s">
        <v>23</v>
      </c>
      <c r="M23" s="18" t="s">
        <v>407</v>
      </c>
    </row>
    <row r="24" customFormat="false" ht="39" hidden="false" customHeight="true" outlineLevel="0" collapsed="false">
      <c r="A24" s="6" t="n">
        <v>18</v>
      </c>
      <c r="B24" s="7" t="n">
        <v>46314</v>
      </c>
      <c r="C24" s="26" t="s">
        <v>344</v>
      </c>
      <c r="D24" s="8" t="s">
        <v>408</v>
      </c>
      <c r="E24" s="9" t="s">
        <v>381</v>
      </c>
      <c r="F24" s="10" t="s">
        <v>18</v>
      </c>
      <c r="G24" s="11" t="s">
        <v>382</v>
      </c>
      <c r="H24" s="11" t="s">
        <v>409</v>
      </c>
      <c r="I24" s="11" t="s">
        <v>32</v>
      </c>
      <c r="J24" s="11" t="s">
        <v>32</v>
      </c>
      <c r="K24" s="12" t="n">
        <v>2</v>
      </c>
      <c r="L24" s="11" t="s">
        <v>23</v>
      </c>
      <c r="M24" s="11"/>
    </row>
    <row r="25" customFormat="false" ht="27" hidden="false" customHeight="true" outlineLevel="0" collapsed="false">
      <c r="A25" s="13" t="n">
        <v>19</v>
      </c>
      <c r="B25" s="14" t="n">
        <v>46314</v>
      </c>
      <c r="C25" s="28" t="s">
        <v>344</v>
      </c>
      <c r="D25" s="15" t="s">
        <v>410</v>
      </c>
      <c r="E25" s="16" t="s">
        <v>362</v>
      </c>
      <c r="F25" s="17" t="s">
        <v>18</v>
      </c>
      <c r="G25" s="22" t="s">
        <v>363</v>
      </c>
      <c r="H25" s="22" t="s">
        <v>411</v>
      </c>
      <c r="I25" s="18" t="s">
        <v>349</v>
      </c>
      <c r="J25" s="18" t="s">
        <v>412</v>
      </c>
      <c r="K25" s="19" t="n">
        <v>1.75</v>
      </c>
      <c r="L25" s="18" t="s">
        <v>23</v>
      </c>
      <c r="M25" s="18"/>
    </row>
    <row r="26" customFormat="false" ht="27" hidden="false" customHeight="true" outlineLevel="0" collapsed="false">
      <c r="A26" s="13" t="n">
        <v>20</v>
      </c>
      <c r="B26" s="14" t="n">
        <v>46314</v>
      </c>
      <c r="C26" s="27" t="s">
        <v>351</v>
      </c>
      <c r="D26" s="15" t="s">
        <v>413</v>
      </c>
      <c r="E26" s="16" t="s">
        <v>370</v>
      </c>
      <c r="F26" s="17" t="s">
        <v>18</v>
      </c>
      <c r="G26" s="18" t="s">
        <v>51</v>
      </c>
      <c r="H26" s="18" t="s">
        <v>414</v>
      </c>
      <c r="I26" s="18" t="s">
        <v>32</v>
      </c>
      <c r="J26" s="18" t="s">
        <v>32</v>
      </c>
      <c r="K26" s="19" t="n">
        <v>1.5</v>
      </c>
      <c r="L26" s="18" t="s">
        <v>23</v>
      </c>
      <c r="M26" s="18"/>
    </row>
    <row r="27" customFormat="false" ht="39" hidden="false" customHeight="true" outlineLevel="0" collapsed="false">
      <c r="A27" s="6" t="n">
        <v>21</v>
      </c>
      <c r="B27" s="20" t="n">
        <v>46315</v>
      </c>
      <c r="C27" s="26" t="s">
        <v>344</v>
      </c>
      <c r="D27" s="8" t="s">
        <v>415</v>
      </c>
      <c r="E27" s="9" t="s">
        <v>381</v>
      </c>
      <c r="F27" s="10" t="s">
        <v>18</v>
      </c>
      <c r="G27" s="11" t="s">
        <v>382</v>
      </c>
      <c r="H27" s="11" t="s">
        <v>416</v>
      </c>
      <c r="I27" s="11" t="s">
        <v>32</v>
      </c>
      <c r="J27" s="11" t="s">
        <v>32</v>
      </c>
      <c r="K27" s="12" t="n">
        <v>2</v>
      </c>
      <c r="L27" s="11" t="s">
        <v>23</v>
      </c>
      <c r="M27" s="11"/>
    </row>
    <row r="28" customFormat="false" ht="27" hidden="false" customHeight="true" outlineLevel="0" collapsed="false">
      <c r="A28" s="13" t="n">
        <v>22</v>
      </c>
      <c r="B28" s="21" t="n">
        <v>46315</v>
      </c>
      <c r="C28" s="27" t="s">
        <v>351</v>
      </c>
      <c r="D28" s="15" t="s">
        <v>417</v>
      </c>
      <c r="E28" s="16" t="s">
        <v>396</v>
      </c>
      <c r="F28" s="17" t="s">
        <v>18</v>
      </c>
      <c r="G28" s="22" t="s">
        <v>418</v>
      </c>
      <c r="H28" s="22" t="s">
        <v>419</v>
      </c>
      <c r="I28" s="18" t="s">
        <v>32</v>
      </c>
      <c r="J28" s="18" t="s">
        <v>32</v>
      </c>
      <c r="K28" s="19" t="n">
        <v>2.5</v>
      </c>
      <c r="L28" s="18" t="s">
        <v>23</v>
      </c>
      <c r="M28" s="18"/>
    </row>
    <row r="29" customFormat="false" ht="27" hidden="false" customHeight="true" outlineLevel="0" collapsed="false">
      <c r="A29" s="13" t="n">
        <v>23</v>
      </c>
      <c r="B29" s="21" t="n">
        <v>46315</v>
      </c>
      <c r="C29" s="27" t="s">
        <v>351</v>
      </c>
      <c r="D29" s="15" t="s">
        <v>420</v>
      </c>
      <c r="E29" s="16" t="s">
        <v>396</v>
      </c>
      <c r="F29" s="17" t="s">
        <v>18</v>
      </c>
      <c r="G29" s="22" t="s">
        <v>421</v>
      </c>
      <c r="H29" s="22" t="s">
        <v>422</v>
      </c>
      <c r="I29" s="18" t="s">
        <v>32</v>
      </c>
      <c r="J29" s="18" t="s">
        <v>32</v>
      </c>
      <c r="K29" s="19" t="n">
        <v>1.75</v>
      </c>
      <c r="L29" s="18" t="s">
        <v>23</v>
      </c>
      <c r="M29" s="18"/>
    </row>
    <row r="30" customFormat="false" ht="39" hidden="false" customHeight="true" outlineLevel="0" collapsed="false">
      <c r="A30" s="6" t="n">
        <v>24</v>
      </c>
      <c r="B30" s="7" t="n">
        <v>46316</v>
      </c>
      <c r="C30" s="26" t="s">
        <v>344</v>
      </c>
      <c r="D30" s="8" t="s">
        <v>423</v>
      </c>
      <c r="E30" s="9" t="s">
        <v>362</v>
      </c>
      <c r="F30" s="10" t="s">
        <v>18</v>
      </c>
      <c r="G30" s="11" t="s">
        <v>347</v>
      </c>
      <c r="H30" s="11" t="s">
        <v>424</v>
      </c>
      <c r="I30" s="11" t="s">
        <v>349</v>
      </c>
      <c r="J30" s="11" t="s">
        <v>425</v>
      </c>
      <c r="K30" s="12" t="n">
        <v>2.25</v>
      </c>
      <c r="L30" s="11" t="s">
        <v>23</v>
      </c>
      <c r="M30" s="11"/>
    </row>
    <row r="31" customFormat="false" ht="51.75" hidden="false" customHeight="true" outlineLevel="0" collapsed="false">
      <c r="A31" s="13" t="n">
        <v>25</v>
      </c>
      <c r="B31" s="14" t="n">
        <v>46316</v>
      </c>
      <c r="C31" s="27" t="s">
        <v>351</v>
      </c>
      <c r="D31" s="15" t="s">
        <v>426</v>
      </c>
      <c r="E31" s="16" t="s">
        <v>370</v>
      </c>
      <c r="F31" s="17" t="s">
        <v>18</v>
      </c>
      <c r="G31" s="18" t="s">
        <v>427</v>
      </c>
      <c r="H31" s="18" t="s">
        <v>428</v>
      </c>
      <c r="I31" s="18" t="s">
        <v>32</v>
      </c>
      <c r="J31" s="18" t="s">
        <v>32</v>
      </c>
      <c r="K31" s="19" t="n">
        <v>1.75</v>
      </c>
      <c r="L31" s="18" t="s">
        <v>23</v>
      </c>
      <c r="M31" s="18"/>
    </row>
    <row r="32" customFormat="false" ht="27" hidden="false" customHeight="true" outlineLevel="0" collapsed="false">
      <c r="A32" s="13" t="n">
        <v>26</v>
      </c>
      <c r="B32" s="14" t="n">
        <v>46316</v>
      </c>
      <c r="C32" s="27" t="s">
        <v>351</v>
      </c>
      <c r="D32" s="15" t="s">
        <v>429</v>
      </c>
      <c r="E32" s="16" t="s">
        <v>430</v>
      </c>
      <c r="F32" s="17" t="s">
        <v>18</v>
      </c>
      <c r="G32" s="18" t="s">
        <v>431</v>
      </c>
      <c r="H32" s="18" t="s">
        <v>432</v>
      </c>
      <c r="I32" s="22" t="s">
        <v>433</v>
      </c>
      <c r="J32" s="22" t="s">
        <v>434</v>
      </c>
      <c r="K32" s="19" t="n">
        <v>2.5</v>
      </c>
      <c r="L32" s="18" t="s">
        <v>23</v>
      </c>
      <c r="M32" s="18"/>
    </row>
    <row r="33" customFormat="false" ht="15" hidden="false" customHeight="true" outlineLevel="0" collapsed="false">
      <c r="A33" s="6" t="n">
        <v>27</v>
      </c>
      <c r="B33" s="20" t="n">
        <v>46317</v>
      </c>
      <c r="C33" s="26" t="s">
        <v>344</v>
      </c>
      <c r="D33" s="8" t="s">
        <v>435</v>
      </c>
      <c r="E33" s="9" t="s">
        <v>362</v>
      </c>
      <c r="F33" s="10" t="s">
        <v>18</v>
      </c>
      <c r="G33" s="23" t="s">
        <v>363</v>
      </c>
      <c r="H33" s="23" t="s">
        <v>436</v>
      </c>
      <c r="I33" s="11" t="s">
        <v>32</v>
      </c>
      <c r="J33" s="11" t="s">
        <v>32</v>
      </c>
      <c r="K33" s="12" t="n">
        <v>1.25</v>
      </c>
      <c r="L33" s="11" t="s">
        <v>23</v>
      </c>
      <c r="M33" s="11"/>
    </row>
    <row r="34" customFormat="false" ht="39" hidden="false" customHeight="true" outlineLevel="0" collapsed="false">
      <c r="A34" s="13" t="n">
        <v>28</v>
      </c>
      <c r="B34" s="21" t="n">
        <v>46317</v>
      </c>
      <c r="C34" s="27" t="s">
        <v>351</v>
      </c>
      <c r="D34" s="15" t="s">
        <v>437</v>
      </c>
      <c r="E34" s="16" t="s">
        <v>430</v>
      </c>
      <c r="F34" s="17" t="s">
        <v>18</v>
      </c>
      <c r="G34" s="18" t="s">
        <v>431</v>
      </c>
      <c r="H34" s="18" t="s">
        <v>438</v>
      </c>
      <c r="I34" s="18" t="s">
        <v>439</v>
      </c>
      <c r="J34" s="18" t="s">
        <v>440</v>
      </c>
      <c r="K34" s="19" t="n">
        <v>2.25</v>
      </c>
      <c r="L34" s="18" t="s">
        <v>23</v>
      </c>
      <c r="M34" s="18"/>
    </row>
    <row r="35" customFormat="false" ht="27" hidden="false" customHeight="true" outlineLevel="0" collapsed="false">
      <c r="A35" s="13" t="n">
        <v>29</v>
      </c>
      <c r="B35" s="21" t="n">
        <v>46317</v>
      </c>
      <c r="C35" s="27" t="s">
        <v>351</v>
      </c>
      <c r="D35" s="15" t="s">
        <v>441</v>
      </c>
      <c r="E35" s="16" t="s">
        <v>370</v>
      </c>
      <c r="F35" s="17" t="s">
        <v>18</v>
      </c>
      <c r="G35" s="18" t="s">
        <v>120</v>
      </c>
      <c r="H35" s="18" t="s">
        <v>442</v>
      </c>
      <c r="I35" s="18" t="s">
        <v>155</v>
      </c>
      <c r="J35" s="18" t="s">
        <v>443</v>
      </c>
      <c r="K35" s="19" t="n">
        <v>2.25</v>
      </c>
      <c r="L35" s="18" t="s">
        <v>23</v>
      </c>
      <c r="M35" s="18"/>
    </row>
    <row r="36" customFormat="false" ht="27" hidden="false" customHeight="true" outlineLevel="0" collapsed="false">
      <c r="A36" s="6" t="n">
        <v>30</v>
      </c>
      <c r="B36" s="7" t="n">
        <v>46318</v>
      </c>
      <c r="C36" s="26" t="s">
        <v>344</v>
      </c>
      <c r="D36" s="8" t="s">
        <v>444</v>
      </c>
      <c r="E36" s="9" t="s">
        <v>381</v>
      </c>
      <c r="F36" s="10" t="s">
        <v>18</v>
      </c>
      <c r="G36" s="23" t="s">
        <v>445</v>
      </c>
      <c r="H36" s="23" t="s">
        <v>446</v>
      </c>
      <c r="I36" s="11" t="s">
        <v>32</v>
      </c>
      <c r="J36" s="11" t="s">
        <v>32</v>
      </c>
      <c r="K36" s="12" t="n">
        <v>2</v>
      </c>
      <c r="L36" s="11" t="s">
        <v>23</v>
      </c>
      <c r="M36" s="11"/>
    </row>
    <row r="37" customFormat="false" ht="27" hidden="false" customHeight="true" outlineLevel="0" collapsed="false">
      <c r="A37" s="13" t="n">
        <v>31</v>
      </c>
      <c r="B37" s="14" t="n">
        <v>46318</v>
      </c>
      <c r="C37" s="27" t="s">
        <v>351</v>
      </c>
      <c r="D37" s="15" t="s">
        <v>447</v>
      </c>
      <c r="E37" s="16" t="s">
        <v>448</v>
      </c>
      <c r="F37" s="17" t="s">
        <v>18</v>
      </c>
      <c r="G37" s="18" t="s">
        <v>77</v>
      </c>
      <c r="H37" s="18" t="s">
        <v>449</v>
      </c>
      <c r="I37" s="18" t="s">
        <v>77</v>
      </c>
      <c r="J37" s="18" t="s">
        <v>450</v>
      </c>
      <c r="K37" s="19" t="n">
        <v>2.25</v>
      </c>
      <c r="L37" s="18" t="s">
        <v>23</v>
      </c>
      <c r="M37" s="18"/>
    </row>
    <row r="38" customFormat="false" ht="27" hidden="false" customHeight="true" outlineLevel="0" collapsed="false">
      <c r="A38" s="13" t="n">
        <v>32</v>
      </c>
      <c r="B38" s="14" t="n">
        <v>46318</v>
      </c>
      <c r="C38" s="27" t="s">
        <v>351</v>
      </c>
      <c r="D38" s="15" t="s">
        <v>451</v>
      </c>
      <c r="E38" s="16" t="s">
        <v>448</v>
      </c>
      <c r="F38" s="17" t="s">
        <v>18</v>
      </c>
      <c r="G38" s="18" t="s">
        <v>77</v>
      </c>
      <c r="H38" s="18" t="s">
        <v>452</v>
      </c>
      <c r="I38" s="18" t="s">
        <v>77</v>
      </c>
      <c r="J38" s="18" t="s">
        <v>453</v>
      </c>
      <c r="K38" s="19" t="n">
        <v>2.5</v>
      </c>
      <c r="L38" s="18" t="s">
        <v>23</v>
      </c>
      <c r="M38" s="18"/>
    </row>
    <row r="39" customFormat="false" ht="27" hidden="false" customHeight="true" outlineLevel="0" collapsed="false">
      <c r="A39" s="6" t="n">
        <v>33</v>
      </c>
      <c r="B39" s="20" t="n">
        <v>46319</v>
      </c>
      <c r="C39" s="26" t="s">
        <v>344</v>
      </c>
      <c r="D39" s="8" t="s">
        <v>454</v>
      </c>
      <c r="E39" s="9" t="s">
        <v>362</v>
      </c>
      <c r="F39" s="10" t="s">
        <v>18</v>
      </c>
      <c r="G39" s="23" t="s">
        <v>363</v>
      </c>
      <c r="H39" s="23" t="s">
        <v>455</v>
      </c>
      <c r="I39" s="11" t="s">
        <v>349</v>
      </c>
      <c r="J39" s="11" t="s">
        <v>456</v>
      </c>
      <c r="K39" s="12" t="n">
        <v>1.75</v>
      </c>
      <c r="L39" s="11" t="s">
        <v>23</v>
      </c>
      <c r="M39" s="11"/>
    </row>
    <row r="40" customFormat="false" ht="27" hidden="false" customHeight="true" outlineLevel="0" collapsed="false">
      <c r="A40" s="13" t="n">
        <v>34</v>
      </c>
      <c r="B40" s="21" t="n">
        <v>46319</v>
      </c>
      <c r="C40" s="28" t="s">
        <v>344</v>
      </c>
      <c r="D40" s="15" t="s">
        <v>457</v>
      </c>
      <c r="E40" s="16" t="s">
        <v>362</v>
      </c>
      <c r="F40" s="17" t="s">
        <v>18</v>
      </c>
      <c r="G40" s="22" t="s">
        <v>363</v>
      </c>
      <c r="H40" s="22" t="s">
        <v>458</v>
      </c>
      <c r="I40" s="18" t="s">
        <v>32</v>
      </c>
      <c r="J40" s="18" t="s">
        <v>32</v>
      </c>
      <c r="K40" s="19" t="n">
        <v>1.75</v>
      </c>
      <c r="L40" s="18" t="s">
        <v>23</v>
      </c>
      <c r="M40" s="18"/>
    </row>
    <row r="41" customFormat="false" ht="39" hidden="false" customHeight="true" outlineLevel="0" collapsed="false">
      <c r="A41" s="13" t="n">
        <v>35</v>
      </c>
      <c r="B41" s="21" t="n">
        <v>46319</v>
      </c>
      <c r="C41" s="27" t="s">
        <v>351</v>
      </c>
      <c r="D41" s="15" t="s">
        <v>459</v>
      </c>
      <c r="E41" s="16" t="s">
        <v>370</v>
      </c>
      <c r="F41" s="17" t="s">
        <v>18</v>
      </c>
      <c r="G41" s="22" t="s">
        <v>460</v>
      </c>
      <c r="H41" s="22" t="s">
        <v>461</v>
      </c>
      <c r="I41" s="18" t="s">
        <v>32</v>
      </c>
      <c r="J41" s="18" t="s">
        <v>32</v>
      </c>
      <c r="K41" s="19" t="n">
        <v>2.25</v>
      </c>
      <c r="L41" s="18" t="s">
        <v>23</v>
      </c>
      <c r="M41" s="18" t="s">
        <v>462</v>
      </c>
    </row>
    <row r="42" customFormat="false" ht="51.75" hidden="false" customHeight="true" outlineLevel="0" collapsed="false">
      <c r="A42" s="6" t="n">
        <v>36</v>
      </c>
      <c r="B42" s="7" t="n">
        <v>46320</v>
      </c>
      <c r="C42" s="26" t="s">
        <v>344</v>
      </c>
      <c r="D42" s="8" t="s">
        <v>463</v>
      </c>
      <c r="E42" s="9" t="s">
        <v>381</v>
      </c>
      <c r="F42" s="10" t="s">
        <v>18</v>
      </c>
      <c r="G42" s="11" t="s">
        <v>464</v>
      </c>
      <c r="H42" s="11" t="s">
        <v>465</v>
      </c>
      <c r="I42" s="11" t="s">
        <v>32</v>
      </c>
      <c r="J42" s="11" t="s">
        <v>32</v>
      </c>
      <c r="K42" s="12" t="n">
        <v>2</v>
      </c>
      <c r="L42" s="11" t="s">
        <v>23</v>
      </c>
      <c r="M42" s="11"/>
    </row>
    <row r="43" customFormat="false" ht="27" hidden="false" customHeight="true" outlineLevel="0" collapsed="false">
      <c r="A43" s="13" t="n">
        <v>37</v>
      </c>
      <c r="B43" s="14" t="n">
        <v>46320</v>
      </c>
      <c r="C43" s="28" t="s">
        <v>344</v>
      </c>
      <c r="D43" s="15" t="s">
        <v>466</v>
      </c>
      <c r="E43" s="16" t="s">
        <v>362</v>
      </c>
      <c r="F43" s="17" t="s">
        <v>18</v>
      </c>
      <c r="G43" s="22" t="s">
        <v>363</v>
      </c>
      <c r="H43" s="22" t="s">
        <v>467</v>
      </c>
      <c r="I43" s="18" t="s">
        <v>32</v>
      </c>
      <c r="J43" s="18" t="s">
        <v>32</v>
      </c>
      <c r="K43" s="19" t="n">
        <v>1.5</v>
      </c>
      <c r="L43" s="18" t="s">
        <v>23</v>
      </c>
      <c r="M43" s="18"/>
    </row>
    <row r="44" customFormat="false" ht="27" hidden="false" customHeight="true" outlineLevel="0" collapsed="false">
      <c r="A44" s="13" t="n">
        <v>38</v>
      </c>
      <c r="B44" s="14" t="n">
        <v>46320</v>
      </c>
      <c r="C44" s="27" t="s">
        <v>351</v>
      </c>
      <c r="D44" s="15" t="s">
        <v>468</v>
      </c>
      <c r="E44" s="16" t="s">
        <v>469</v>
      </c>
      <c r="F44" s="17" t="s">
        <v>18</v>
      </c>
      <c r="G44" s="18" t="s">
        <v>431</v>
      </c>
      <c r="H44" s="18" t="s">
        <v>470</v>
      </c>
      <c r="I44" s="18" t="s">
        <v>471</v>
      </c>
      <c r="J44" s="18" t="s">
        <v>472</v>
      </c>
      <c r="K44" s="19" t="n">
        <v>2</v>
      </c>
      <c r="L44" s="18" t="s">
        <v>23</v>
      </c>
      <c r="M44" s="18"/>
    </row>
    <row r="45" customFormat="false" ht="15" hidden="false" customHeight="true" outlineLevel="0" collapsed="false">
      <c r="A45" s="6" t="n">
        <v>39</v>
      </c>
      <c r="B45" s="20" t="n">
        <v>46321</v>
      </c>
      <c r="C45" s="26" t="s">
        <v>344</v>
      </c>
      <c r="D45" s="8" t="s">
        <v>473</v>
      </c>
      <c r="E45" s="9" t="s">
        <v>381</v>
      </c>
      <c r="F45" s="10" t="s">
        <v>18</v>
      </c>
      <c r="G45" s="23" t="s">
        <v>474</v>
      </c>
      <c r="H45" s="23" t="s">
        <v>475</v>
      </c>
      <c r="I45" s="11" t="s">
        <v>32</v>
      </c>
      <c r="J45" s="11" t="s">
        <v>32</v>
      </c>
      <c r="K45" s="12" t="n">
        <v>1</v>
      </c>
      <c r="L45" s="11" t="s">
        <v>23</v>
      </c>
      <c r="M45" s="11"/>
    </row>
    <row r="46" customFormat="false" ht="27" hidden="false" customHeight="true" outlineLevel="0" collapsed="false">
      <c r="A46" s="13" t="n">
        <v>40</v>
      </c>
      <c r="B46" s="21" t="n">
        <v>46321</v>
      </c>
      <c r="C46" s="28" t="s">
        <v>344</v>
      </c>
      <c r="D46" s="15" t="s">
        <v>476</v>
      </c>
      <c r="E46" s="16" t="s">
        <v>362</v>
      </c>
      <c r="F46" s="17" t="s">
        <v>18</v>
      </c>
      <c r="G46" s="22" t="s">
        <v>363</v>
      </c>
      <c r="H46" s="22" t="s">
        <v>477</v>
      </c>
      <c r="I46" s="18" t="s">
        <v>478</v>
      </c>
      <c r="J46" s="18" t="s">
        <v>479</v>
      </c>
      <c r="K46" s="19" t="n">
        <v>2</v>
      </c>
      <c r="L46" s="18" t="s">
        <v>23</v>
      </c>
      <c r="M46" s="18"/>
    </row>
    <row r="47" customFormat="false" ht="27" hidden="false" customHeight="true" outlineLevel="0" collapsed="false">
      <c r="A47" s="13" t="n">
        <v>41</v>
      </c>
      <c r="B47" s="21" t="n">
        <v>46321</v>
      </c>
      <c r="C47" s="27" t="s">
        <v>351</v>
      </c>
      <c r="D47" s="15" t="s">
        <v>480</v>
      </c>
      <c r="E47" s="16" t="s">
        <v>469</v>
      </c>
      <c r="F47" s="17" t="s">
        <v>18</v>
      </c>
      <c r="G47" s="22" t="s">
        <v>481</v>
      </c>
      <c r="H47" s="22" t="s">
        <v>482</v>
      </c>
      <c r="I47" s="18" t="s">
        <v>32</v>
      </c>
      <c r="J47" s="18" t="s">
        <v>32</v>
      </c>
      <c r="K47" s="19" t="n">
        <v>2.5</v>
      </c>
      <c r="L47" s="18" t="s">
        <v>23</v>
      </c>
      <c r="M47" s="18"/>
    </row>
    <row r="48" customFormat="false" ht="27" hidden="false" customHeight="true" outlineLevel="0" collapsed="false">
      <c r="A48" s="13" t="n">
        <v>42</v>
      </c>
      <c r="B48" s="21" t="n">
        <v>46321</v>
      </c>
      <c r="C48" s="27" t="s">
        <v>351</v>
      </c>
      <c r="D48" s="15" t="s">
        <v>483</v>
      </c>
      <c r="E48" s="16" t="s">
        <v>469</v>
      </c>
      <c r="F48" s="17" t="s">
        <v>18</v>
      </c>
      <c r="G48" s="22" t="s">
        <v>484</v>
      </c>
      <c r="H48" s="22" t="s">
        <v>485</v>
      </c>
      <c r="I48" s="18" t="s">
        <v>32</v>
      </c>
      <c r="J48" s="18" t="s">
        <v>32</v>
      </c>
      <c r="K48" s="19" t="n">
        <v>2.25</v>
      </c>
      <c r="L48" s="18" t="s">
        <v>23</v>
      </c>
      <c r="M48" s="18"/>
    </row>
    <row r="49" customFormat="false" ht="15" hidden="false" customHeight="true" outlineLevel="0" collapsed="false">
      <c r="A49" s="6" t="n">
        <v>43</v>
      </c>
      <c r="B49" s="7" t="n">
        <v>46322</v>
      </c>
      <c r="C49" s="26" t="s">
        <v>344</v>
      </c>
      <c r="D49" s="8" t="s">
        <v>486</v>
      </c>
      <c r="E49" s="9" t="s">
        <v>362</v>
      </c>
      <c r="F49" s="10" t="s">
        <v>18</v>
      </c>
      <c r="G49" s="23" t="s">
        <v>363</v>
      </c>
      <c r="H49" s="23" t="s">
        <v>487</v>
      </c>
      <c r="I49" s="11" t="s">
        <v>32</v>
      </c>
      <c r="J49" s="11" t="s">
        <v>32</v>
      </c>
      <c r="K49" s="12" t="n">
        <v>1.75</v>
      </c>
      <c r="L49" s="11" t="s">
        <v>23</v>
      </c>
      <c r="M49" s="11"/>
    </row>
    <row r="50" customFormat="false" ht="27" hidden="false" customHeight="true" outlineLevel="0" collapsed="false">
      <c r="A50" s="13" t="n">
        <v>44</v>
      </c>
      <c r="B50" s="14" t="n">
        <v>46322</v>
      </c>
      <c r="C50" s="27" t="s">
        <v>351</v>
      </c>
      <c r="D50" s="15" t="s">
        <v>488</v>
      </c>
      <c r="E50" s="16" t="s">
        <v>489</v>
      </c>
      <c r="F50" s="17" t="s">
        <v>18</v>
      </c>
      <c r="G50" s="18" t="s">
        <v>377</v>
      </c>
      <c r="H50" s="18" t="s">
        <v>490</v>
      </c>
      <c r="I50" s="18" t="s">
        <v>77</v>
      </c>
      <c r="J50" s="18" t="s">
        <v>491</v>
      </c>
      <c r="K50" s="19" t="n">
        <v>2.5</v>
      </c>
      <c r="L50" s="18" t="s">
        <v>23</v>
      </c>
      <c r="M50" s="18"/>
    </row>
    <row r="51" customFormat="false" ht="27" hidden="false" customHeight="true" outlineLevel="0" collapsed="false">
      <c r="A51" s="13" t="n">
        <v>45</v>
      </c>
      <c r="B51" s="14" t="n">
        <v>46322</v>
      </c>
      <c r="C51" s="27" t="s">
        <v>351</v>
      </c>
      <c r="D51" s="15" t="s">
        <v>492</v>
      </c>
      <c r="E51" s="16" t="s">
        <v>489</v>
      </c>
      <c r="F51" s="17" t="s">
        <v>18</v>
      </c>
      <c r="G51" s="18" t="s">
        <v>377</v>
      </c>
      <c r="H51" s="18" t="s">
        <v>493</v>
      </c>
      <c r="I51" s="18" t="s">
        <v>77</v>
      </c>
      <c r="J51" s="18" t="s">
        <v>494</v>
      </c>
      <c r="K51" s="19" t="n">
        <v>2.5</v>
      </c>
      <c r="L51" s="18" t="s">
        <v>23</v>
      </c>
      <c r="M51" s="18"/>
    </row>
    <row r="52" customFormat="false" ht="27" hidden="false" customHeight="true" outlineLevel="0" collapsed="false">
      <c r="A52" s="6" t="n">
        <v>46</v>
      </c>
      <c r="B52" s="20" t="n">
        <v>46323</v>
      </c>
      <c r="C52" s="26" t="s">
        <v>344</v>
      </c>
      <c r="D52" s="8" t="s">
        <v>495</v>
      </c>
      <c r="E52" s="9" t="s">
        <v>362</v>
      </c>
      <c r="F52" s="10" t="s">
        <v>18</v>
      </c>
      <c r="G52" s="23" t="s">
        <v>363</v>
      </c>
      <c r="H52" s="23" t="s">
        <v>496</v>
      </c>
      <c r="I52" s="11" t="s">
        <v>32</v>
      </c>
      <c r="J52" s="11" t="s">
        <v>32</v>
      </c>
      <c r="K52" s="12" t="n">
        <v>1.75</v>
      </c>
      <c r="L52" s="11" t="s">
        <v>23</v>
      </c>
      <c r="M52" s="11"/>
    </row>
    <row r="53" customFormat="false" ht="15" hidden="false" customHeight="true" outlineLevel="0" collapsed="false">
      <c r="A53" s="13" t="n">
        <v>47</v>
      </c>
      <c r="B53" s="21" t="n">
        <v>46323</v>
      </c>
      <c r="C53" s="28" t="s">
        <v>344</v>
      </c>
      <c r="D53" s="15" t="s">
        <v>497</v>
      </c>
      <c r="E53" s="16" t="s">
        <v>362</v>
      </c>
      <c r="F53" s="17" t="s">
        <v>18</v>
      </c>
      <c r="G53" s="22" t="s">
        <v>363</v>
      </c>
      <c r="H53" s="22" t="s">
        <v>498</v>
      </c>
      <c r="I53" s="18" t="s">
        <v>32</v>
      </c>
      <c r="J53" s="18" t="s">
        <v>32</v>
      </c>
      <c r="K53" s="19" t="n">
        <v>1.5</v>
      </c>
      <c r="L53" s="18" t="s">
        <v>23</v>
      </c>
      <c r="M53" s="18"/>
    </row>
    <row r="54" customFormat="false" ht="27" hidden="false" customHeight="true" outlineLevel="0" collapsed="false">
      <c r="A54" s="13" t="n">
        <v>48</v>
      </c>
      <c r="B54" s="21" t="n">
        <v>46323</v>
      </c>
      <c r="C54" s="27" t="s">
        <v>351</v>
      </c>
      <c r="D54" s="15" t="s">
        <v>499</v>
      </c>
      <c r="E54" s="16" t="s">
        <v>370</v>
      </c>
      <c r="F54" s="24" t="s">
        <v>235</v>
      </c>
      <c r="G54" s="18" t="s">
        <v>30</v>
      </c>
      <c r="H54" s="18" t="s">
        <v>500</v>
      </c>
      <c r="I54" s="18" t="s">
        <v>32</v>
      </c>
      <c r="J54" s="18" t="s">
        <v>32</v>
      </c>
      <c r="K54" s="19" t="n">
        <v>1.25</v>
      </c>
      <c r="L54" s="18" t="s">
        <v>23</v>
      </c>
      <c r="M54" s="18"/>
    </row>
    <row r="55" customFormat="false" ht="27" hidden="false" customHeight="true" outlineLevel="0" collapsed="false">
      <c r="A55" s="13" t="n">
        <v>49</v>
      </c>
      <c r="B55" s="21" t="n">
        <v>46323</v>
      </c>
      <c r="C55" s="27" t="s">
        <v>351</v>
      </c>
      <c r="D55" s="15" t="s">
        <v>501</v>
      </c>
      <c r="E55" s="16" t="s">
        <v>396</v>
      </c>
      <c r="F55" s="24" t="s">
        <v>235</v>
      </c>
      <c r="G55" s="18" t="s">
        <v>51</v>
      </c>
      <c r="H55" s="18" t="s">
        <v>502</v>
      </c>
      <c r="I55" s="18" t="s">
        <v>32</v>
      </c>
      <c r="J55" s="18" t="s">
        <v>32</v>
      </c>
      <c r="K55" s="19" t="n">
        <v>1.5</v>
      </c>
      <c r="L55" s="18" t="s">
        <v>23</v>
      </c>
      <c r="M55" s="18"/>
    </row>
    <row r="56" customFormat="false" ht="27" hidden="false" customHeight="true" outlineLevel="0" collapsed="false">
      <c r="A56" s="6" t="n">
        <v>50</v>
      </c>
      <c r="B56" s="7" t="n">
        <v>46324</v>
      </c>
      <c r="C56" s="26" t="s">
        <v>344</v>
      </c>
      <c r="D56" s="8" t="s">
        <v>503</v>
      </c>
      <c r="E56" s="9" t="s">
        <v>504</v>
      </c>
      <c r="F56" s="10" t="s">
        <v>18</v>
      </c>
      <c r="G56" s="11" t="s">
        <v>377</v>
      </c>
      <c r="H56" s="11" t="s">
        <v>505</v>
      </c>
      <c r="I56" s="11" t="s">
        <v>506</v>
      </c>
      <c r="J56" s="11" t="s">
        <v>507</v>
      </c>
      <c r="K56" s="12" t="n">
        <v>2</v>
      </c>
      <c r="L56" s="11" t="s">
        <v>23</v>
      </c>
      <c r="M56" s="11"/>
    </row>
    <row r="57" customFormat="false" ht="27" hidden="false" customHeight="true" outlineLevel="0" collapsed="false">
      <c r="A57" s="13" t="n">
        <v>51</v>
      </c>
      <c r="B57" s="14" t="n">
        <v>46324</v>
      </c>
      <c r="C57" s="28" t="s">
        <v>344</v>
      </c>
      <c r="D57" s="15" t="s">
        <v>508</v>
      </c>
      <c r="E57" s="16" t="s">
        <v>362</v>
      </c>
      <c r="F57" s="17" t="s">
        <v>18</v>
      </c>
      <c r="G57" s="22" t="s">
        <v>363</v>
      </c>
      <c r="H57" s="22" t="s">
        <v>509</v>
      </c>
      <c r="I57" s="18" t="s">
        <v>32</v>
      </c>
      <c r="J57" s="18" t="s">
        <v>32</v>
      </c>
      <c r="K57" s="19" t="n">
        <v>2</v>
      </c>
      <c r="L57" s="18" t="s">
        <v>23</v>
      </c>
      <c r="M57" s="18"/>
    </row>
    <row r="58" customFormat="false" ht="27" hidden="false" customHeight="true" outlineLevel="0" collapsed="false">
      <c r="A58" s="13" t="n">
        <v>52</v>
      </c>
      <c r="B58" s="14" t="n">
        <v>46324</v>
      </c>
      <c r="C58" s="27" t="s">
        <v>351</v>
      </c>
      <c r="D58" s="15" t="s">
        <v>510</v>
      </c>
      <c r="E58" s="16" t="s">
        <v>370</v>
      </c>
      <c r="F58" s="24" t="s">
        <v>235</v>
      </c>
      <c r="G58" s="18" t="s">
        <v>51</v>
      </c>
      <c r="H58" s="18" t="s">
        <v>511</v>
      </c>
      <c r="I58" s="18" t="s">
        <v>32</v>
      </c>
      <c r="J58" s="18" t="s">
        <v>32</v>
      </c>
      <c r="K58" s="19" t="n">
        <v>1.5</v>
      </c>
      <c r="L58" s="18" t="s">
        <v>23</v>
      </c>
      <c r="M58" s="18"/>
    </row>
    <row r="59" customFormat="false" ht="15" hidden="false" customHeight="true" outlineLevel="0" collapsed="false">
      <c r="A59" s="6" t="n">
        <v>53</v>
      </c>
      <c r="B59" s="20" t="n">
        <v>46325</v>
      </c>
      <c r="C59" s="26" t="s">
        <v>344</v>
      </c>
      <c r="D59" s="8" t="s">
        <v>512</v>
      </c>
      <c r="E59" s="9" t="s">
        <v>362</v>
      </c>
      <c r="F59" s="25" t="s">
        <v>235</v>
      </c>
      <c r="G59" s="23" t="s">
        <v>363</v>
      </c>
      <c r="H59" s="23" t="s">
        <v>513</v>
      </c>
      <c r="I59" s="11" t="s">
        <v>32</v>
      </c>
      <c r="J59" s="11" t="s">
        <v>32</v>
      </c>
      <c r="K59" s="12" t="n">
        <v>1.75</v>
      </c>
      <c r="L59" s="11" t="s">
        <v>23</v>
      </c>
      <c r="M59" s="11"/>
    </row>
    <row r="60" customFormat="false" ht="27" hidden="false" customHeight="true" outlineLevel="0" collapsed="false">
      <c r="A60" s="13" t="n">
        <v>54</v>
      </c>
      <c r="B60" s="21" t="n">
        <v>46325</v>
      </c>
      <c r="C60" s="28" t="s">
        <v>344</v>
      </c>
      <c r="D60" s="15" t="s">
        <v>514</v>
      </c>
      <c r="E60" s="16" t="s">
        <v>504</v>
      </c>
      <c r="F60" s="24" t="s">
        <v>235</v>
      </c>
      <c r="G60" s="18" t="s">
        <v>354</v>
      </c>
      <c r="H60" s="18" t="s">
        <v>515</v>
      </c>
      <c r="I60" s="18" t="s">
        <v>77</v>
      </c>
      <c r="J60" s="18" t="s">
        <v>516</v>
      </c>
      <c r="K60" s="19" t="n">
        <v>1.5</v>
      </c>
      <c r="L60" s="18" t="s">
        <v>23</v>
      </c>
      <c r="M60" s="18"/>
    </row>
    <row r="61" customFormat="false" ht="27" hidden="false" customHeight="true" outlineLevel="0" collapsed="false">
      <c r="A61" s="13" t="n">
        <v>55</v>
      </c>
      <c r="B61" s="21" t="n">
        <v>46325</v>
      </c>
      <c r="C61" s="27" t="s">
        <v>351</v>
      </c>
      <c r="D61" s="15" t="s">
        <v>517</v>
      </c>
      <c r="E61" s="16" t="s">
        <v>396</v>
      </c>
      <c r="F61" s="24" t="s">
        <v>235</v>
      </c>
      <c r="G61" s="18" t="s">
        <v>51</v>
      </c>
      <c r="H61" s="18" t="s">
        <v>518</v>
      </c>
      <c r="I61" s="18" t="s">
        <v>32</v>
      </c>
      <c r="J61" s="18" t="s">
        <v>32</v>
      </c>
      <c r="K61" s="19" t="n">
        <v>1.75</v>
      </c>
      <c r="L61" s="18" t="s">
        <v>23</v>
      </c>
      <c r="M61" s="18"/>
    </row>
    <row r="62" customFormat="false" ht="27" hidden="false" customHeight="true" outlineLevel="0" collapsed="false">
      <c r="A62" s="13" t="n">
        <v>56</v>
      </c>
      <c r="B62" s="21" t="n">
        <v>46325</v>
      </c>
      <c r="C62" s="27" t="s">
        <v>351</v>
      </c>
      <c r="D62" s="15" t="s">
        <v>519</v>
      </c>
      <c r="E62" s="16" t="s">
        <v>370</v>
      </c>
      <c r="F62" s="24" t="s">
        <v>235</v>
      </c>
      <c r="G62" s="18" t="s">
        <v>77</v>
      </c>
      <c r="H62" s="18" t="s">
        <v>520</v>
      </c>
      <c r="I62" s="18" t="s">
        <v>32</v>
      </c>
      <c r="J62" s="18" t="s">
        <v>32</v>
      </c>
      <c r="K62" s="19" t="n">
        <v>2</v>
      </c>
      <c r="L62" s="18" t="s">
        <v>23</v>
      </c>
      <c r="M62" s="18"/>
    </row>
    <row r="63" customFormat="false" ht="27" hidden="false" customHeight="true" outlineLevel="0" collapsed="false">
      <c r="A63" s="6" t="n">
        <v>57</v>
      </c>
      <c r="B63" s="7" t="n">
        <v>46326</v>
      </c>
      <c r="C63" s="26" t="s">
        <v>344</v>
      </c>
      <c r="D63" s="8" t="s">
        <v>521</v>
      </c>
      <c r="E63" s="9" t="s">
        <v>362</v>
      </c>
      <c r="F63" s="25" t="s">
        <v>235</v>
      </c>
      <c r="G63" s="23" t="s">
        <v>363</v>
      </c>
      <c r="H63" s="23" t="s">
        <v>522</v>
      </c>
      <c r="I63" s="11" t="s">
        <v>32</v>
      </c>
      <c r="J63" s="11" t="s">
        <v>32</v>
      </c>
      <c r="K63" s="12" t="n">
        <v>2</v>
      </c>
      <c r="L63" s="11" t="s">
        <v>23</v>
      </c>
      <c r="M63" s="11"/>
    </row>
    <row r="64" customFormat="false" ht="27" hidden="false" customHeight="true" outlineLevel="0" collapsed="false">
      <c r="A64" s="13" t="n">
        <v>58</v>
      </c>
      <c r="B64" s="14" t="n">
        <v>46326</v>
      </c>
      <c r="C64" s="27" t="s">
        <v>351</v>
      </c>
      <c r="D64" s="15" t="s">
        <v>523</v>
      </c>
      <c r="E64" s="16" t="s">
        <v>469</v>
      </c>
      <c r="F64" s="24" t="s">
        <v>235</v>
      </c>
      <c r="G64" s="22" t="s">
        <v>524</v>
      </c>
      <c r="H64" s="22" t="s">
        <v>525</v>
      </c>
      <c r="I64" s="18" t="s">
        <v>32</v>
      </c>
      <c r="J64" s="18" t="s">
        <v>32</v>
      </c>
      <c r="K64" s="19" t="n">
        <v>2.5</v>
      </c>
      <c r="L64" s="18" t="s">
        <v>23</v>
      </c>
      <c r="M64" s="18"/>
    </row>
    <row r="65" customFormat="false" ht="27" hidden="false" customHeight="true" outlineLevel="0" collapsed="false">
      <c r="A65" s="13" t="n">
        <v>59</v>
      </c>
      <c r="B65" s="14" t="n">
        <v>46326</v>
      </c>
      <c r="C65" s="27" t="s">
        <v>351</v>
      </c>
      <c r="D65" s="15" t="s">
        <v>526</v>
      </c>
      <c r="E65" s="16" t="s">
        <v>469</v>
      </c>
      <c r="F65" s="24" t="s">
        <v>235</v>
      </c>
      <c r="G65" s="22" t="s">
        <v>527</v>
      </c>
      <c r="H65" s="22" t="s">
        <v>528</v>
      </c>
      <c r="I65" s="18" t="s">
        <v>32</v>
      </c>
      <c r="J65" s="18" t="s">
        <v>32</v>
      </c>
      <c r="K65" s="19" t="n">
        <v>2.5</v>
      </c>
      <c r="L65" s="18" t="s">
        <v>23</v>
      </c>
      <c r="M65" s="18"/>
    </row>
    <row r="66" customFormat="false" ht="39" hidden="false" customHeight="true" outlineLevel="0" collapsed="false">
      <c r="A66" s="6" t="n">
        <v>60</v>
      </c>
      <c r="B66" s="20" t="n">
        <v>46327</v>
      </c>
      <c r="C66" s="26" t="s">
        <v>344</v>
      </c>
      <c r="D66" s="8" t="s">
        <v>529</v>
      </c>
      <c r="E66" s="9" t="s">
        <v>504</v>
      </c>
      <c r="F66" s="25" t="s">
        <v>235</v>
      </c>
      <c r="G66" s="11" t="s">
        <v>530</v>
      </c>
      <c r="H66" s="11" t="s">
        <v>531</v>
      </c>
      <c r="I66" s="11" t="s">
        <v>532</v>
      </c>
      <c r="J66" s="11" t="s">
        <v>533</v>
      </c>
      <c r="K66" s="12" t="n">
        <v>1.5</v>
      </c>
      <c r="L66" s="11" t="s">
        <v>23</v>
      </c>
      <c r="M66" s="11"/>
    </row>
    <row r="67" customFormat="false" ht="27" hidden="false" customHeight="true" outlineLevel="0" collapsed="false">
      <c r="A67" s="13" t="n">
        <v>61</v>
      </c>
      <c r="B67" s="21" t="n">
        <v>46327</v>
      </c>
      <c r="C67" s="28" t="s">
        <v>344</v>
      </c>
      <c r="D67" s="15" t="s">
        <v>534</v>
      </c>
      <c r="E67" s="16" t="s">
        <v>362</v>
      </c>
      <c r="F67" s="24" t="s">
        <v>235</v>
      </c>
      <c r="G67" s="22" t="s">
        <v>535</v>
      </c>
      <c r="H67" s="22" t="s">
        <v>536</v>
      </c>
      <c r="I67" s="18" t="s">
        <v>32</v>
      </c>
      <c r="J67" s="18" t="s">
        <v>32</v>
      </c>
      <c r="K67" s="19" t="n">
        <v>2</v>
      </c>
      <c r="L67" s="18" t="s">
        <v>23</v>
      </c>
      <c r="M67" s="18"/>
    </row>
    <row r="68" customFormat="false" ht="27" hidden="false" customHeight="true" outlineLevel="0" collapsed="false">
      <c r="A68" s="13" t="n">
        <v>62</v>
      </c>
      <c r="B68" s="21" t="n">
        <v>46327</v>
      </c>
      <c r="C68" s="27" t="s">
        <v>351</v>
      </c>
      <c r="D68" s="15" t="s">
        <v>537</v>
      </c>
      <c r="E68" s="16" t="s">
        <v>396</v>
      </c>
      <c r="F68" s="24" t="s">
        <v>235</v>
      </c>
      <c r="G68" s="18" t="s">
        <v>30</v>
      </c>
      <c r="H68" s="18" t="s">
        <v>538</v>
      </c>
      <c r="I68" s="18" t="s">
        <v>32</v>
      </c>
      <c r="J68" s="18" t="s">
        <v>32</v>
      </c>
      <c r="K68" s="19" t="n">
        <v>1</v>
      </c>
      <c r="L68" s="18" t="s">
        <v>23</v>
      </c>
      <c r="M68" s="18"/>
    </row>
    <row r="69" customFormat="false" ht="27" hidden="false" customHeight="true" outlineLevel="0" collapsed="false">
      <c r="A69" s="13" t="n">
        <v>63</v>
      </c>
      <c r="B69" s="21" t="n">
        <v>46327</v>
      </c>
      <c r="C69" s="27" t="s">
        <v>351</v>
      </c>
      <c r="D69" s="15" t="s">
        <v>539</v>
      </c>
      <c r="E69" s="16" t="s">
        <v>448</v>
      </c>
      <c r="F69" s="24" t="s">
        <v>235</v>
      </c>
      <c r="G69" s="22" t="s">
        <v>305</v>
      </c>
      <c r="H69" s="22" t="s">
        <v>540</v>
      </c>
      <c r="I69" s="18" t="s">
        <v>32</v>
      </c>
      <c r="J69" s="18" t="s">
        <v>32</v>
      </c>
      <c r="K69" s="19" t="n">
        <v>2</v>
      </c>
      <c r="L69" s="18" t="s">
        <v>23</v>
      </c>
      <c r="M69" s="18"/>
    </row>
    <row r="70" customFormat="false" ht="39" hidden="false" customHeight="true" outlineLevel="0" collapsed="false">
      <c r="A70" s="6" t="n">
        <v>64</v>
      </c>
      <c r="B70" s="7" t="n">
        <v>46328</v>
      </c>
      <c r="C70" s="26" t="s">
        <v>344</v>
      </c>
      <c r="D70" s="8" t="s">
        <v>541</v>
      </c>
      <c r="E70" s="9" t="s">
        <v>504</v>
      </c>
      <c r="F70" s="25" t="s">
        <v>235</v>
      </c>
      <c r="G70" s="11" t="s">
        <v>542</v>
      </c>
      <c r="H70" s="11" t="s">
        <v>543</v>
      </c>
      <c r="I70" s="11" t="s">
        <v>356</v>
      </c>
      <c r="J70" s="11" t="s">
        <v>544</v>
      </c>
      <c r="K70" s="12" t="n">
        <v>1.5</v>
      </c>
      <c r="L70" s="11" t="s">
        <v>23</v>
      </c>
      <c r="M70" s="11"/>
    </row>
    <row r="71" customFormat="false" ht="27" hidden="false" customHeight="true" outlineLevel="0" collapsed="false">
      <c r="A71" s="13" t="n">
        <v>65</v>
      </c>
      <c r="B71" s="14" t="n">
        <v>46328</v>
      </c>
      <c r="C71" s="28" t="s">
        <v>344</v>
      </c>
      <c r="D71" s="15" t="s">
        <v>545</v>
      </c>
      <c r="E71" s="16" t="s">
        <v>362</v>
      </c>
      <c r="F71" s="24" t="s">
        <v>235</v>
      </c>
      <c r="G71" s="22" t="s">
        <v>363</v>
      </c>
      <c r="H71" s="22" t="s">
        <v>546</v>
      </c>
      <c r="I71" s="18" t="s">
        <v>32</v>
      </c>
      <c r="J71" s="18" t="s">
        <v>32</v>
      </c>
      <c r="K71" s="19" t="n">
        <v>2</v>
      </c>
      <c r="L71" s="18" t="s">
        <v>23</v>
      </c>
      <c r="M71" s="18"/>
    </row>
    <row r="72" customFormat="false" ht="27" hidden="false" customHeight="true" outlineLevel="0" collapsed="false">
      <c r="A72" s="13" t="n">
        <v>66</v>
      </c>
      <c r="B72" s="14" t="n">
        <v>46328</v>
      </c>
      <c r="C72" s="27" t="s">
        <v>351</v>
      </c>
      <c r="D72" s="15" t="s">
        <v>547</v>
      </c>
      <c r="E72" s="16" t="s">
        <v>469</v>
      </c>
      <c r="F72" s="24" t="s">
        <v>235</v>
      </c>
      <c r="G72" s="22" t="s">
        <v>548</v>
      </c>
      <c r="H72" s="22" t="s">
        <v>549</v>
      </c>
      <c r="I72" s="18" t="s">
        <v>32</v>
      </c>
      <c r="J72" s="18" t="s">
        <v>32</v>
      </c>
      <c r="K72" s="19" t="n">
        <v>2.25</v>
      </c>
      <c r="L72" s="18" t="s">
        <v>23</v>
      </c>
      <c r="M72" s="18"/>
    </row>
    <row r="73" customFormat="false" ht="27" hidden="false" customHeight="true" outlineLevel="0" collapsed="false">
      <c r="A73" s="6" t="n">
        <v>67</v>
      </c>
      <c r="B73" s="20" t="n">
        <v>46329</v>
      </c>
      <c r="C73" s="26" t="s">
        <v>344</v>
      </c>
      <c r="D73" s="8" t="s">
        <v>550</v>
      </c>
      <c r="E73" s="9" t="s">
        <v>504</v>
      </c>
      <c r="F73" s="25" t="s">
        <v>235</v>
      </c>
      <c r="G73" s="23" t="s">
        <v>551</v>
      </c>
      <c r="H73" s="23" t="s">
        <v>552</v>
      </c>
      <c r="I73" s="11" t="s">
        <v>32</v>
      </c>
      <c r="J73" s="11" t="s">
        <v>32</v>
      </c>
      <c r="K73" s="12" t="n">
        <v>1.5</v>
      </c>
      <c r="L73" s="11" t="s">
        <v>23</v>
      </c>
      <c r="M73" s="11"/>
    </row>
    <row r="74" customFormat="false" ht="27" hidden="false" customHeight="true" outlineLevel="0" collapsed="false">
      <c r="A74" s="13" t="n">
        <v>68</v>
      </c>
      <c r="B74" s="21" t="n">
        <v>46329</v>
      </c>
      <c r="C74" s="28" t="s">
        <v>344</v>
      </c>
      <c r="D74" s="15" t="s">
        <v>553</v>
      </c>
      <c r="E74" s="16" t="s">
        <v>362</v>
      </c>
      <c r="F74" s="17" t="s">
        <v>18</v>
      </c>
      <c r="G74" s="22" t="s">
        <v>363</v>
      </c>
      <c r="H74" s="22" t="s">
        <v>554</v>
      </c>
      <c r="I74" s="18" t="s">
        <v>32</v>
      </c>
      <c r="J74" s="18" t="s">
        <v>32</v>
      </c>
      <c r="K74" s="19" t="n">
        <v>2</v>
      </c>
      <c r="L74" s="18" t="s">
        <v>23</v>
      </c>
      <c r="M74" s="18" t="s">
        <v>555</v>
      </c>
    </row>
    <row r="75" customFormat="false" ht="27" hidden="false" customHeight="true" outlineLevel="0" collapsed="false">
      <c r="A75" s="13" t="n">
        <v>69</v>
      </c>
      <c r="B75" s="21" t="n">
        <v>46329</v>
      </c>
      <c r="C75" s="27" t="s">
        <v>351</v>
      </c>
      <c r="D75" s="15" t="s">
        <v>556</v>
      </c>
      <c r="E75" s="16" t="s">
        <v>469</v>
      </c>
      <c r="F75" s="24" t="s">
        <v>235</v>
      </c>
      <c r="G75" s="22" t="s">
        <v>557</v>
      </c>
      <c r="H75" s="22" t="s">
        <v>558</v>
      </c>
      <c r="I75" s="18" t="s">
        <v>32</v>
      </c>
      <c r="J75" s="18" t="s">
        <v>32</v>
      </c>
      <c r="K75" s="19" t="n">
        <v>2.25</v>
      </c>
      <c r="L75" s="18" t="s">
        <v>23</v>
      </c>
      <c r="M75" s="18"/>
    </row>
    <row r="76" customFormat="false" ht="27" hidden="false" customHeight="true" outlineLevel="0" collapsed="false">
      <c r="A76" s="13" t="n">
        <v>70</v>
      </c>
      <c r="B76" s="21" t="n">
        <v>46329</v>
      </c>
      <c r="C76" s="27" t="s">
        <v>351</v>
      </c>
      <c r="D76" s="15" t="s">
        <v>559</v>
      </c>
      <c r="E76" s="16" t="s">
        <v>489</v>
      </c>
      <c r="F76" s="24" t="s">
        <v>235</v>
      </c>
      <c r="G76" s="18" t="s">
        <v>77</v>
      </c>
      <c r="H76" s="18" t="s">
        <v>560</v>
      </c>
      <c r="I76" s="18" t="s">
        <v>561</v>
      </c>
      <c r="J76" s="18" t="s">
        <v>562</v>
      </c>
      <c r="K76" s="19" t="n">
        <v>2</v>
      </c>
      <c r="L76" s="18" t="s">
        <v>23</v>
      </c>
      <c r="M76" s="18"/>
    </row>
  </sheetData>
  <autoFilter ref="A6:M76"/>
  <conditionalFormatting sqref="B7:M76">
    <cfRule type="expression" priority="2" aboveAverage="0" equalAverage="0" bottom="0" percent="0" rank="0" text="" dxfId="11">
      <formula>$L7="Done"</formula>
    </cfRule>
    <cfRule type="expression" priority="3" aboveAverage="0" equalAverage="0" bottom="0" percent="0" rank="0" text="" dxfId="12">
      <formula>$L7="Revise again"</formula>
    </cfRule>
  </conditionalFormatting>
  <dataValidations count="1">
    <dataValidation allowBlank="true" errorStyle="stop" operator="between" showDropDown="false" showErrorMessage="false" showInputMessage="false" sqref="L7:L76" type="list">
      <formula1>"Not started,In progress,Done,Revise again"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"/>
    <col collapsed="false" customWidth="true" hidden="false" outlineLevel="0" max="4" min="3" style="1" width="14"/>
    <col collapsed="false" customWidth="true" hidden="false" outlineLevel="0" max="9" min="5" style="1" width="11"/>
    <col collapsed="false" customWidth="true" hidden="false" outlineLevel="0" max="10" min="10" style="1" width="10"/>
  </cols>
  <sheetData>
    <row r="1" customFormat="false" ht="18" hidden="false" customHeight="true" outlineLevel="0" collapsed="false">
      <c r="A1" s="2" t="s">
        <v>563</v>
      </c>
    </row>
    <row r="2" customFormat="false" ht="15" hidden="false" customHeight="true" outlineLevel="0" collapsed="false">
      <c r="A2" s="4" t="s">
        <v>564</v>
      </c>
    </row>
    <row r="4" customFormat="false" ht="30" hidden="false" customHeight="true" outlineLevel="0" collapsed="false">
      <c r="A4" s="5" t="s">
        <v>5</v>
      </c>
      <c r="B4" s="5" t="s">
        <v>565</v>
      </c>
      <c r="C4" s="5" t="s">
        <v>566</v>
      </c>
      <c r="D4" s="5" t="s">
        <v>567</v>
      </c>
      <c r="E4" s="5" t="s">
        <v>568</v>
      </c>
      <c r="F4" s="5" t="s">
        <v>569</v>
      </c>
      <c r="G4" s="5" t="s">
        <v>570</v>
      </c>
      <c r="H4" s="5" t="s">
        <v>571</v>
      </c>
      <c r="I4" s="5" t="s">
        <v>572</v>
      </c>
      <c r="J4" s="5" t="s">
        <v>573</v>
      </c>
    </row>
    <row r="5" customFormat="false" ht="15" hidden="false" customHeight="true" outlineLevel="0" collapsed="false">
      <c r="A5" s="29" t="n">
        <v>46308</v>
      </c>
      <c r="B5" s="30" t="n">
        <f aca="false">SUMIFS('Theory (day-wise)'!$J$7:$J$83,'Theory (day-wise)'!$B$7:$B$83,$A5)</f>
        <v>4.75</v>
      </c>
      <c r="C5" s="30" t="n">
        <f aca="false">SUMIFS('Coding (day-wise)'!$K$7:$K$76,'Coding (day-wise)'!$B$7:$B$76,$A5,'Coding (day-wise)'!$C$7:$C$76,"DSA / SQL practice")</f>
        <v>2.75</v>
      </c>
      <c r="D5" s="30" t="n">
        <f aca="false">SUMIFS('Coding (day-wise)'!$K$7:$K$76,'Coding (day-wise)'!$B$7:$B$76,$A5,'Coding (day-wise)'!$C$7:$C$76,"ML / DL coding &amp; projects")</f>
        <v>4.5</v>
      </c>
      <c r="E5" s="31" t="n">
        <f aca="false">SUM(B5:D5)</f>
        <v>12</v>
      </c>
      <c r="F5" s="32" t="n">
        <f aca="false">COUNTIFS('Theory (day-wise)'!$B$7:$B$83,$A5)</f>
        <v>2</v>
      </c>
      <c r="G5" s="32" t="n">
        <f aca="false">COUNTIFS('Coding (day-wise)'!$B$7:$B$76,$A5,'Coding (day-wise)'!$C$7:$C$76,"DSA / SQL practice")</f>
        <v>1</v>
      </c>
      <c r="H5" s="32" t="n">
        <f aca="false">COUNTIFS('Theory (day-wise)'!$B$7:$B$83,$A5,'Theory (day-wise)'!$K$7:$K$83,"Done")+COUNTIFS('Coding (day-wise)'!$B$7:$B$76,$A5,'Coding (day-wise)'!$L$7:$L$76,"Done")</f>
        <v>0</v>
      </c>
      <c r="I5" s="32" t="n">
        <f aca="false">F5+COUNTIFS('Coding (day-wise)'!$B$7:$B$76,$A5)</f>
        <v>5</v>
      </c>
      <c r="J5" s="33" t="n">
        <f aca="false">IF(I5=0,0,H5/I5)</f>
        <v>0</v>
      </c>
    </row>
    <row r="6" customFormat="false" ht="15" hidden="false" customHeight="true" outlineLevel="0" collapsed="false">
      <c r="A6" s="34" t="n">
        <v>46309</v>
      </c>
      <c r="B6" s="35" t="n">
        <f aca="false">SUMIFS('Theory (day-wise)'!$J$7:$J$83,'Theory (day-wise)'!$B$7:$B$83,$A6)</f>
        <v>7</v>
      </c>
      <c r="C6" s="35" t="n">
        <f aca="false">SUMIFS('Coding (day-wise)'!$K$7:$K$76,'Coding (day-wise)'!$B$7:$B$76,$A6,'Coding (day-wise)'!$C$7:$C$76,"DSA / SQL practice")</f>
        <v>1.75</v>
      </c>
      <c r="D6" s="35" t="n">
        <f aca="false">SUMIFS('Coding (day-wise)'!$K$7:$K$76,'Coding (day-wise)'!$B$7:$B$76,$A6,'Coding (day-wise)'!$C$7:$C$76,"ML / DL coding &amp; projects")</f>
        <v>3</v>
      </c>
      <c r="E6" s="36" t="n">
        <f aca="false">SUM(B6:D6)</f>
        <v>11.75</v>
      </c>
      <c r="F6" s="37" t="n">
        <f aca="false">COUNTIFS('Theory (day-wise)'!$B$7:$B$83,$A6)</f>
        <v>4</v>
      </c>
      <c r="G6" s="37" t="n">
        <f aca="false">COUNTIFS('Coding (day-wise)'!$B$7:$B$76,$A6,'Coding (day-wise)'!$C$7:$C$76,"DSA / SQL practice")</f>
        <v>1</v>
      </c>
      <c r="H6" s="37" t="n">
        <f aca="false">COUNTIFS('Theory (day-wise)'!$B$7:$B$83,$A6,'Theory (day-wise)'!$K$7:$K$83,"Done")+COUNTIFS('Coding (day-wise)'!$B$7:$B$76,$A6,'Coding (day-wise)'!$L$7:$L$76,"Done")</f>
        <v>0</v>
      </c>
      <c r="I6" s="37" t="n">
        <f aca="false">F6+COUNTIFS('Coding (day-wise)'!$B$7:$B$76,$A6)</f>
        <v>7</v>
      </c>
      <c r="J6" s="38" t="n">
        <f aca="false">IF(I6=0,0,H6/I6)</f>
        <v>0</v>
      </c>
    </row>
    <row r="7" customFormat="false" ht="15" hidden="false" customHeight="true" outlineLevel="0" collapsed="false">
      <c r="A7" s="29" t="n">
        <v>46310</v>
      </c>
      <c r="B7" s="30" t="n">
        <f aca="false">SUMIFS('Theory (day-wise)'!$J$7:$J$83,'Theory (day-wise)'!$B$7:$B$83,$A7)</f>
        <v>7</v>
      </c>
      <c r="C7" s="30" t="n">
        <f aca="false">SUMIFS('Coding (day-wise)'!$K$7:$K$76,'Coding (day-wise)'!$B$7:$B$76,$A7,'Coding (day-wise)'!$C$7:$C$76,"DSA / SQL practice")</f>
        <v>2.5</v>
      </c>
      <c r="D7" s="30" t="n">
        <f aca="false">SUMIFS('Coding (day-wise)'!$K$7:$K$76,'Coding (day-wise)'!$B$7:$B$76,$A7,'Coding (day-wise)'!$C$7:$C$76,"ML / DL coding &amp; projects")</f>
        <v>2</v>
      </c>
      <c r="E7" s="31" t="n">
        <f aca="false">SUM(B7:D7)</f>
        <v>11.5</v>
      </c>
      <c r="F7" s="32" t="n">
        <f aca="false">COUNTIFS('Theory (day-wise)'!$B$7:$B$83,$A7)</f>
        <v>4</v>
      </c>
      <c r="G7" s="32" t="n">
        <f aca="false">COUNTIFS('Coding (day-wise)'!$B$7:$B$76,$A7,'Coding (day-wise)'!$C$7:$C$76,"DSA / SQL practice")</f>
        <v>1</v>
      </c>
      <c r="H7" s="32" t="n">
        <f aca="false">COUNTIFS('Theory (day-wise)'!$B$7:$B$83,$A7,'Theory (day-wise)'!$K$7:$K$83,"Done")+COUNTIFS('Coding (day-wise)'!$B$7:$B$76,$A7,'Coding (day-wise)'!$L$7:$L$76,"Done")</f>
        <v>0</v>
      </c>
      <c r="I7" s="32" t="n">
        <f aca="false">F7+COUNTIFS('Coding (day-wise)'!$B$7:$B$76,$A7)</f>
        <v>6</v>
      </c>
      <c r="J7" s="33" t="n">
        <f aca="false">IF(I7=0,0,H7/I7)</f>
        <v>0</v>
      </c>
    </row>
    <row r="8" customFormat="false" ht="15" hidden="false" customHeight="true" outlineLevel="0" collapsed="false">
      <c r="A8" s="34" t="n">
        <v>46311</v>
      </c>
      <c r="B8" s="35" t="n">
        <f aca="false">SUMIFS('Theory (day-wise)'!$J$7:$J$83,'Theory (day-wise)'!$B$7:$B$83,$A8)</f>
        <v>6</v>
      </c>
      <c r="C8" s="35" t="n">
        <f aca="false">SUMIFS('Coding (day-wise)'!$K$7:$K$76,'Coding (day-wise)'!$B$7:$B$76,$A8,'Coding (day-wise)'!$C$7:$C$76,"DSA / SQL practice")</f>
        <v>2</v>
      </c>
      <c r="D8" s="35" t="n">
        <f aca="false">SUMIFS('Coding (day-wise)'!$K$7:$K$76,'Coding (day-wise)'!$B$7:$B$76,$A8,'Coding (day-wise)'!$C$7:$C$76,"ML / DL coding &amp; projects")</f>
        <v>4.25</v>
      </c>
      <c r="E8" s="36" t="n">
        <f aca="false">SUM(B8:D8)</f>
        <v>12.25</v>
      </c>
      <c r="F8" s="37" t="n">
        <f aca="false">COUNTIFS('Theory (day-wise)'!$B$7:$B$83,$A8)</f>
        <v>2</v>
      </c>
      <c r="G8" s="37" t="n">
        <f aca="false">COUNTIFS('Coding (day-wise)'!$B$7:$B$76,$A8,'Coding (day-wise)'!$C$7:$C$76,"DSA / SQL practice")</f>
        <v>1</v>
      </c>
      <c r="H8" s="37" t="n">
        <f aca="false">COUNTIFS('Theory (day-wise)'!$B$7:$B$83,$A8,'Theory (day-wise)'!$K$7:$K$83,"Done")+COUNTIFS('Coding (day-wise)'!$B$7:$B$76,$A8,'Coding (day-wise)'!$L$7:$L$76,"Done")</f>
        <v>0</v>
      </c>
      <c r="I8" s="37" t="n">
        <f aca="false">F8+COUNTIFS('Coding (day-wise)'!$B$7:$B$76,$A8)</f>
        <v>5</v>
      </c>
      <c r="J8" s="38" t="n">
        <f aca="false">IF(I8=0,0,H8/I8)</f>
        <v>0</v>
      </c>
    </row>
    <row r="9" customFormat="false" ht="15" hidden="false" customHeight="true" outlineLevel="0" collapsed="false">
      <c r="A9" s="29" t="n">
        <v>46312</v>
      </c>
      <c r="B9" s="30" t="n">
        <f aca="false">SUMIFS('Theory (day-wise)'!$J$7:$J$83,'Theory (day-wise)'!$B$7:$B$83,$A9)</f>
        <v>6.5</v>
      </c>
      <c r="C9" s="30" t="n">
        <f aca="false">SUMIFS('Coding (day-wise)'!$K$7:$K$76,'Coding (day-wise)'!$B$7:$B$76,$A9,'Coding (day-wise)'!$C$7:$C$76,"DSA / SQL practice")</f>
        <v>1.75</v>
      </c>
      <c r="D9" s="30" t="n">
        <f aca="false">SUMIFS('Coding (day-wise)'!$K$7:$K$76,'Coding (day-wise)'!$B$7:$B$76,$A9,'Coding (day-wise)'!$C$7:$C$76,"ML / DL coding &amp; projects")</f>
        <v>4.25</v>
      </c>
      <c r="E9" s="31" t="n">
        <f aca="false">SUM(B9:D9)</f>
        <v>12.5</v>
      </c>
      <c r="F9" s="32" t="n">
        <f aca="false">COUNTIFS('Theory (day-wise)'!$B$7:$B$83,$A9)</f>
        <v>3</v>
      </c>
      <c r="G9" s="32" t="n">
        <f aca="false">COUNTIFS('Coding (day-wise)'!$B$7:$B$76,$A9,'Coding (day-wise)'!$C$7:$C$76,"DSA / SQL practice")</f>
        <v>1</v>
      </c>
      <c r="H9" s="32" t="n">
        <f aca="false">COUNTIFS('Theory (day-wise)'!$B$7:$B$83,$A9,'Theory (day-wise)'!$K$7:$K$83,"Done")+COUNTIFS('Coding (day-wise)'!$B$7:$B$76,$A9,'Coding (day-wise)'!$L$7:$L$76,"Done")</f>
        <v>0</v>
      </c>
      <c r="I9" s="32" t="n">
        <f aca="false">F9+COUNTIFS('Coding (day-wise)'!$B$7:$B$76,$A9)</f>
        <v>6</v>
      </c>
      <c r="J9" s="33" t="n">
        <f aca="false">IF(I9=0,0,H9/I9)</f>
        <v>0</v>
      </c>
    </row>
    <row r="10" customFormat="false" ht="15" hidden="false" customHeight="true" outlineLevel="0" collapsed="false">
      <c r="A10" s="34" t="n">
        <v>46313</v>
      </c>
      <c r="B10" s="35" t="n">
        <f aca="false">SUMIFS('Theory (day-wise)'!$J$7:$J$83,'Theory (day-wise)'!$B$7:$B$83,$A10)</f>
        <v>6.75</v>
      </c>
      <c r="C10" s="35" t="n">
        <f aca="false">SUMIFS('Coding (day-wise)'!$K$7:$K$76,'Coding (day-wise)'!$B$7:$B$76,$A10,'Coding (day-wise)'!$C$7:$C$76,"DSA / SQL practice")</f>
        <v>4</v>
      </c>
      <c r="D10" s="35" t="n">
        <f aca="false">SUMIFS('Coding (day-wise)'!$K$7:$K$76,'Coding (day-wise)'!$B$7:$B$76,$A10,'Coding (day-wise)'!$C$7:$C$76,"ML / DL coding &amp; projects")</f>
        <v>1.75</v>
      </c>
      <c r="E10" s="36" t="n">
        <f aca="false">SUM(B10:D10)</f>
        <v>12.5</v>
      </c>
      <c r="F10" s="37" t="n">
        <f aca="false">COUNTIFS('Theory (day-wise)'!$B$7:$B$83,$A10)</f>
        <v>5</v>
      </c>
      <c r="G10" s="37" t="n">
        <f aca="false">COUNTIFS('Coding (day-wise)'!$B$7:$B$76,$A10,'Coding (day-wise)'!$C$7:$C$76,"DSA / SQL practice")</f>
        <v>2</v>
      </c>
      <c r="H10" s="37" t="n">
        <f aca="false">COUNTIFS('Theory (day-wise)'!$B$7:$B$83,$A10,'Theory (day-wise)'!$K$7:$K$83,"Done")+COUNTIFS('Coding (day-wise)'!$B$7:$B$76,$A10,'Coding (day-wise)'!$L$7:$L$76,"Done")</f>
        <v>0</v>
      </c>
      <c r="I10" s="37" t="n">
        <f aca="false">F10+COUNTIFS('Coding (day-wise)'!$B$7:$B$76,$A10)</f>
        <v>8</v>
      </c>
      <c r="J10" s="38" t="n">
        <f aca="false">IF(I10=0,0,H10/I10)</f>
        <v>0</v>
      </c>
    </row>
    <row r="11" customFormat="false" ht="15" hidden="false" customHeight="true" outlineLevel="0" collapsed="false">
      <c r="A11" s="29" t="n">
        <v>46314</v>
      </c>
      <c r="B11" s="30" t="n">
        <f aca="false">SUMIFS('Theory (day-wise)'!$J$7:$J$83,'Theory (day-wise)'!$B$7:$B$83,$A11)</f>
        <v>7.25</v>
      </c>
      <c r="C11" s="30" t="n">
        <f aca="false">SUMIFS('Coding (day-wise)'!$K$7:$K$76,'Coding (day-wise)'!$B$7:$B$76,$A11,'Coding (day-wise)'!$C$7:$C$76,"DSA / SQL practice")</f>
        <v>3.75</v>
      </c>
      <c r="D11" s="30" t="n">
        <f aca="false">SUMIFS('Coding (day-wise)'!$K$7:$K$76,'Coding (day-wise)'!$B$7:$B$76,$A11,'Coding (day-wise)'!$C$7:$C$76,"ML / DL coding &amp; projects")</f>
        <v>1.5</v>
      </c>
      <c r="E11" s="31" t="n">
        <f aca="false">SUM(B11:D11)</f>
        <v>12.5</v>
      </c>
      <c r="F11" s="32" t="n">
        <f aca="false">COUNTIFS('Theory (day-wise)'!$B$7:$B$83,$A11)</f>
        <v>3</v>
      </c>
      <c r="G11" s="32" t="n">
        <f aca="false">COUNTIFS('Coding (day-wise)'!$B$7:$B$76,$A11,'Coding (day-wise)'!$C$7:$C$76,"DSA / SQL practice")</f>
        <v>2</v>
      </c>
      <c r="H11" s="32" t="n">
        <f aca="false">COUNTIFS('Theory (day-wise)'!$B$7:$B$83,$A11,'Theory (day-wise)'!$K$7:$K$83,"Done")+COUNTIFS('Coding (day-wise)'!$B$7:$B$76,$A11,'Coding (day-wise)'!$L$7:$L$76,"Done")</f>
        <v>0</v>
      </c>
      <c r="I11" s="32" t="n">
        <f aca="false">F11+COUNTIFS('Coding (day-wise)'!$B$7:$B$76,$A11)</f>
        <v>6</v>
      </c>
      <c r="J11" s="33" t="n">
        <f aca="false">IF(I11=0,0,H11/I11)</f>
        <v>0</v>
      </c>
    </row>
    <row r="12" customFormat="false" ht="15" hidden="false" customHeight="true" outlineLevel="0" collapsed="false">
      <c r="A12" s="34" t="n">
        <v>46315</v>
      </c>
      <c r="B12" s="35" t="n">
        <f aca="false">SUMIFS('Theory (day-wise)'!$J$7:$J$83,'Theory (day-wise)'!$B$7:$B$83,$A12)</f>
        <v>6</v>
      </c>
      <c r="C12" s="35" t="n">
        <f aca="false">SUMIFS('Coding (day-wise)'!$K$7:$K$76,'Coding (day-wise)'!$B$7:$B$76,$A12,'Coding (day-wise)'!$C$7:$C$76,"DSA / SQL practice")</f>
        <v>2</v>
      </c>
      <c r="D12" s="35" t="n">
        <f aca="false">SUMIFS('Coding (day-wise)'!$K$7:$K$76,'Coding (day-wise)'!$B$7:$B$76,$A12,'Coding (day-wise)'!$C$7:$C$76,"ML / DL coding &amp; projects")</f>
        <v>4.25</v>
      </c>
      <c r="E12" s="36" t="n">
        <f aca="false">SUM(B12:D12)</f>
        <v>12.25</v>
      </c>
      <c r="F12" s="37" t="n">
        <f aca="false">COUNTIFS('Theory (day-wise)'!$B$7:$B$83,$A12)</f>
        <v>4</v>
      </c>
      <c r="G12" s="37" t="n">
        <f aca="false">COUNTIFS('Coding (day-wise)'!$B$7:$B$76,$A12,'Coding (day-wise)'!$C$7:$C$76,"DSA / SQL practice")</f>
        <v>1</v>
      </c>
      <c r="H12" s="37" t="n">
        <f aca="false">COUNTIFS('Theory (day-wise)'!$B$7:$B$83,$A12,'Theory (day-wise)'!$K$7:$K$83,"Done")+COUNTIFS('Coding (day-wise)'!$B$7:$B$76,$A12,'Coding (day-wise)'!$L$7:$L$76,"Done")</f>
        <v>0</v>
      </c>
      <c r="I12" s="37" t="n">
        <f aca="false">F12+COUNTIFS('Coding (day-wise)'!$B$7:$B$76,$A12)</f>
        <v>7</v>
      </c>
      <c r="J12" s="38" t="n">
        <f aca="false">IF(I12=0,0,H12/I12)</f>
        <v>0</v>
      </c>
    </row>
    <row r="13" customFormat="false" ht="15" hidden="false" customHeight="true" outlineLevel="0" collapsed="false">
      <c r="A13" s="29" t="n">
        <v>46316</v>
      </c>
      <c r="B13" s="30" t="n">
        <f aca="false">SUMIFS('Theory (day-wise)'!$J$7:$J$83,'Theory (day-wise)'!$B$7:$B$83,$A13)</f>
        <v>6</v>
      </c>
      <c r="C13" s="30" t="n">
        <f aca="false">SUMIFS('Coding (day-wise)'!$K$7:$K$76,'Coding (day-wise)'!$B$7:$B$76,$A13,'Coding (day-wise)'!$C$7:$C$76,"DSA / SQL practice")</f>
        <v>2.25</v>
      </c>
      <c r="D13" s="30" t="n">
        <f aca="false">SUMIFS('Coding (day-wise)'!$K$7:$K$76,'Coding (day-wise)'!$B$7:$B$76,$A13,'Coding (day-wise)'!$C$7:$C$76,"ML / DL coding &amp; projects")</f>
        <v>4.25</v>
      </c>
      <c r="E13" s="31" t="n">
        <f aca="false">SUM(B13:D13)</f>
        <v>12.5</v>
      </c>
      <c r="F13" s="32" t="n">
        <f aca="false">COUNTIFS('Theory (day-wise)'!$B$7:$B$83,$A13)</f>
        <v>5</v>
      </c>
      <c r="G13" s="32" t="n">
        <f aca="false">COUNTIFS('Coding (day-wise)'!$B$7:$B$76,$A13,'Coding (day-wise)'!$C$7:$C$76,"DSA / SQL practice")</f>
        <v>1</v>
      </c>
      <c r="H13" s="32" t="n">
        <f aca="false">COUNTIFS('Theory (day-wise)'!$B$7:$B$83,$A13,'Theory (day-wise)'!$K$7:$K$83,"Done")+COUNTIFS('Coding (day-wise)'!$B$7:$B$76,$A13,'Coding (day-wise)'!$L$7:$L$76,"Done")</f>
        <v>0</v>
      </c>
      <c r="I13" s="32" t="n">
        <f aca="false">F13+COUNTIFS('Coding (day-wise)'!$B$7:$B$76,$A13)</f>
        <v>8</v>
      </c>
      <c r="J13" s="33" t="n">
        <f aca="false">IF(I13=0,0,H13/I13)</f>
        <v>0</v>
      </c>
    </row>
    <row r="14" customFormat="false" ht="15" hidden="false" customHeight="true" outlineLevel="0" collapsed="false">
      <c r="A14" s="34" t="n">
        <v>46317</v>
      </c>
      <c r="B14" s="35" t="n">
        <f aca="false">SUMIFS('Theory (day-wise)'!$J$7:$J$83,'Theory (day-wise)'!$B$7:$B$83,$A14)</f>
        <v>6.5</v>
      </c>
      <c r="C14" s="35" t="n">
        <f aca="false">SUMIFS('Coding (day-wise)'!$K$7:$K$76,'Coding (day-wise)'!$B$7:$B$76,$A14,'Coding (day-wise)'!$C$7:$C$76,"DSA / SQL practice")</f>
        <v>1.25</v>
      </c>
      <c r="D14" s="35" t="n">
        <f aca="false">SUMIFS('Coding (day-wise)'!$K$7:$K$76,'Coding (day-wise)'!$B$7:$B$76,$A14,'Coding (day-wise)'!$C$7:$C$76,"ML / DL coding &amp; projects")</f>
        <v>4.5</v>
      </c>
      <c r="E14" s="36" t="n">
        <f aca="false">SUM(B14:D14)</f>
        <v>12.25</v>
      </c>
      <c r="F14" s="37" t="n">
        <f aca="false">COUNTIFS('Theory (day-wise)'!$B$7:$B$83,$A14)</f>
        <v>4</v>
      </c>
      <c r="G14" s="37" t="n">
        <f aca="false">COUNTIFS('Coding (day-wise)'!$B$7:$B$76,$A14,'Coding (day-wise)'!$C$7:$C$76,"DSA / SQL practice")</f>
        <v>1</v>
      </c>
      <c r="H14" s="37" t="n">
        <f aca="false">COUNTIFS('Theory (day-wise)'!$B$7:$B$83,$A14,'Theory (day-wise)'!$K$7:$K$83,"Done")+COUNTIFS('Coding (day-wise)'!$B$7:$B$76,$A14,'Coding (day-wise)'!$L$7:$L$76,"Done")</f>
        <v>0</v>
      </c>
      <c r="I14" s="37" t="n">
        <f aca="false">F14+COUNTIFS('Coding (day-wise)'!$B$7:$B$76,$A14)</f>
        <v>7</v>
      </c>
      <c r="J14" s="38" t="n">
        <f aca="false">IF(I14=0,0,H14/I14)</f>
        <v>0</v>
      </c>
    </row>
    <row r="15" customFormat="false" ht="15" hidden="false" customHeight="true" outlineLevel="0" collapsed="false">
      <c r="A15" s="29" t="n">
        <v>46318</v>
      </c>
      <c r="B15" s="30" t="n">
        <f aca="false">SUMIFS('Theory (day-wise)'!$J$7:$J$83,'Theory (day-wise)'!$B$7:$B$83,$A15)</f>
        <v>4.75</v>
      </c>
      <c r="C15" s="30" t="n">
        <f aca="false">SUMIFS('Coding (day-wise)'!$K$7:$K$76,'Coding (day-wise)'!$B$7:$B$76,$A15,'Coding (day-wise)'!$C$7:$C$76,"DSA / SQL practice")</f>
        <v>2</v>
      </c>
      <c r="D15" s="30" t="n">
        <f aca="false">SUMIFS('Coding (day-wise)'!$K$7:$K$76,'Coding (day-wise)'!$B$7:$B$76,$A15,'Coding (day-wise)'!$C$7:$C$76,"ML / DL coding &amp; projects")</f>
        <v>4.75</v>
      </c>
      <c r="E15" s="31" t="n">
        <f aca="false">SUM(B15:D15)</f>
        <v>11.5</v>
      </c>
      <c r="F15" s="32" t="n">
        <f aca="false">COUNTIFS('Theory (day-wise)'!$B$7:$B$83,$A15)</f>
        <v>2</v>
      </c>
      <c r="G15" s="32" t="n">
        <f aca="false">COUNTIFS('Coding (day-wise)'!$B$7:$B$76,$A15,'Coding (day-wise)'!$C$7:$C$76,"DSA / SQL practice")</f>
        <v>1</v>
      </c>
      <c r="H15" s="32" t="n">
        <f aca="false">COUNTIFS('Theory (day-wise)'!$B$7:$B$83,$A15,'Theory (day-wise)'!$K$7:$K$83,"Done")+COUNTIFS('Coding (day-wise)'!$B$7:$B$76,$A15,'Coding (day-wise)'!$L$7:$L$76,"Done")</f>
        <v>0</v>
      </c>
      <c r="I15" s="32" t="n">
        <f aca="false">F15+COUNTIFS('Coding (day-wise)'!$B$7:$B$76,$A15)</f>
        <v>5</v>
      </c>
      <c r="J15" s="33" t="n">
        <f aca="false">IF(I15=0,0,H15/I15)</f>
        <v>0</v>
      </c>
    </row>
    <row r="16" customFormat="false" ht="15" hidden="false" customHeight="true" outlineLevel="0" collapsed="false">
      <c r="A16" s="34" t="n">
        <v>46319</v>
      </c>
      <c r="B16" s="35" t="n">
        <f aca="false">SUMIFS('Theory (day-wise)'!$J$7:$J$83,'Theory (day-wise)'!$B$7:$B$83,$A16)</f>
        <v>6.75</v>
      </c>
      <c r="C16" s="35" t="n">
        <f aca="false">SUMIFS('Coding (day-wise)'!$K$7:$K$76,'Coding (day-wise)'!$B$7:$B$76,$A16,'Coding (day-wise)'!$C$7:$C$76,"DSA / SQL practice")</f>
        <v>3.5</v>
      </c>
      <c r="D16" s="35" t="n">
        <f aca="false">SUMIFS('Coding (day-wise)'!$K$7:$K$76,'Coding (day-wise)'!$B$7:$B$76,$A16,'Coding (day-wise)'!$C$7:$C$76,"ML / DL coding &amp; projects")</f>
        <v>2.25</v>
      </c>
      <c r="E16" s="36" t="n">
        <f aca="false">SUM(B16:D16)</f>
        <v>12.5</v>
      </c>
      <c r="F16" s="37" t="n">
        <f aca="false">COUNTIFS('Theory (day-wise)'!$B$7:$B$83,$A16)</f>
        <v>4</v>
      </c>
      <c r="G16" s="37" t="n">
        <f aca="false">COUNTIFS('Coding (day-wise)'!$B$7:$B$76,$A16,'Coding (day-wise)'!$C$7:$C$76,"DSA / SQL practice")</f>
        <v>2</v>
      </c>
      <c r="H16" s="37" t="n">
        <f aca="false">COUNTIFS('Theory (day-wise)'!$B$7:$B$83,$A16,'Theory (day-wise)'!$K$7:$K$83,"Done")+COUNTIFS('Coding (day-wise)'!$B$7:$B$76,$A16,'Coding (day-wise)'!$L$7:$L$76,"Done")</f>
        <v>0</v>
      </c>
      <c r="I16" s="37" t="n">
        <f aca="false">F16+COUNTIFS('Coding (day-wise)'!$B$7:$B$76,$A16)</f>
        <v>7</v>
      </c>
      <c r="J16" s="38" t="n">
        <f aca="false">IF(I16=0,0,H16/I16)</f>
        <v>0</v>
      </c>
    </row>
    <row r="17" customFormat="false" ht="15" hidden="false" customHeight="true" outlineLevel="0" collapsed="false">
      <c r="A17" s="29" t="n">
        <v>46320</v>
      </c>
      <c r="B17" s="30" t="n">
        <f aca="false">SUMIFS('Theory (day-wise)'!$J$7:$J$83,'Theory (day-wise)'!$B$7:$B$83,$A17)</f>
        <v>6.25</v>
      </c>
      <c r="C17" s="30" t="n">
        <f aca="false">SUMIFS('Coding (day-wise)'!$K$7:$K$76,'Coding (day-wise)'!$B$7:$B$76,$A17,'Coding (day-wise)'!$C$7:$C$76,"DSA / SQL practice")</f>
        <v>3.5</v>
      </c>
      <c r="D17" s="30" t="n">
        <f aca="false">SUMIFS('Coding (day-wise)'!$K$7:$K$76,'Coding (day-wise)'!$B$7:$B$76,$A17,'Coding (day-wise)'!$C$7:$C$76,"ML / DL coding &amp; projects")</f>
        <v>2</v>
      </c>
      <c r="E17" s="31" t="n">
        <f aca="false">SUM(B17:D17)</f>
        <v>11.75</v>
      </c>
      <c r="F17" s="32" t="n">
        <f aca="false">COUNTIFS('Theory (day-wise)'!$B$7:$B$83,$A17)</f>
        <v>3</v>
      </c>
      <c r="G17" s="32" t="n">
        <f aca="false">COUNTIFS('Coding (day-wise)'!$B$7:$B$76,$A17,'Coding (day-wise)'!$C$7:$C$76,"DSA / SQL practice")</f>
        <v>2</v>
      </c>
      <c r="H17" s="32" t="n">
        <f aca="false">COUNTIFS('Theory (day-wise)'!$B$7:$B$83,$A17,'Theory (day-wise)'!$K$7:$K$83,"Done")+COUNTIFS('Coding (day-wise)'!$B$7:$B$76,$A17,'Coding (day-wise)'!$L$7:$L$76,"Done")</f>
        <v>0</v>
      </c>
      <c r="I17" s="32" t="n">
        <f aca="false">F17+COUNTIFS('Coding (day-wise)'!$B$7:$B$76,$A17)</f>
        <v>6</v>
      </c>
      <c r="J17" s="33" t="n">
        <f aca="false">IF(I17=0,0,H17/I17)</f>
        <v>0</v>
      </c>
    </row>
    <row r="18" customFormat="false" ht="15" hidden="false" customHeight="true" outlineLevel="0" collapsed="false">
      <c r="A18" s="34" t="n">
        <v>46321</v>
      </c>
      <c r="B18" s="35" t="n">
        <f aca="false">SUMIFS('Theory (day-wise)'!$J$7:$J$83,'Theory (day-wise)'!$B$7:$B$83,$A18)</f>
        <v>4.25</v>
      </c>
      <c r="C18" s="35" t="n">
        <f aca="false">SUMIFS('Coding (day-wise)'!$K$7:$K$76,'Coding (day-wise)'!$B$7:$B$76,$A18,'Coding (day-wise)'!$C$7:$C$76,"DSA / SQL practice")</f>
        <v>3</v>
      </c>
      <c r="D18" s="35" t="n">
        <f aca="false">SUMIFS('Coding (day-wise)'!$K$7:$K$76,'Coding (day-wise)'!$B$7:$B$76,$A18,'Coding (day-wise)'!$C$7:$C$76,"ML / DL coding &amp; projects")</f>
        <v>4.75</v>
      </c>
      <c r="E18" s="36" t="n">
        <f aca="false">SUM(B18:D18)</f>
        <v>12</v>
      </c>
      <c r="F18" s="37" t="n">
        <f aca="false">COUNTIFS('Theory (day-wise)'!$B$7:$B$83,$A18)</f>
        <v>3</v>
      </c>
      <c r="G18" s="37" t="n">
        <f aca="false">COUNTIFS('Coding (day-wise)'!$B$7:$B$76,$A18,'Coding (day-wise)'!$C$7:$C$76,"DSA / SQL practice")</f>
        <v>2</v>
      </c>
      <c r="H18" s="37" t="n">
        <f aca="false">COUNTIFS('Theory (day-wise)'!$B$7:$B$83,$A18,'Theory (day-wise)'!$K$7:$K$83,"Done")+COUNTIFS('Coding (day-wise)'!$B$7:$B$76,$A18,'Coding (day-wise)'!$L$7:$L$76,"Done")</f>
        <v>0</v>
      </c>
      <c r="I18" s="37" t="n">
        <f aca="false">F18+COUNTIFS('Coding (day-wise)'!$B$7:$B$76,$A18)</f>
        <v>7</v>
      </c>
      <c r="J18" s="38" t="n">
        <f aca="false">IF(I18=0,0,H18/I18)</f>
        <v>0</v>
      </c>
    </row>
    <row r="19" customFormat="false" ht="15" hidden="false" customHeight="true" outlineLevel="0" collapsed="false">
      <c r="A19" s="29" t="n">
        <v>46322</v>
      </c>
      <c r="B19" s="30" t="n">
        <f aca="false">SUMIFS('Theory (day-wise)'!$J$7:$J$83,'Theory (day-wise)'!$B$7:$B$83,$A19)</f>
        <v>5.5</v>
      </c>
      <c r="C19" s="30" t="n">
        <f aca="false">SUMIFS('Coding (day-wise)'!$K$7:$K$76,'Coding (day-wise)'!$B$7:$B$76,$A19,'Coding (day-wise)'!$C$7:$C$76,"DSA / SQL practice")</f>
        <v>1.75</v>
      </c>
      <c r="D19" s="30" t="n">
        <f aca="false">SUMIFS('Coding (day-wise)'!$K$7:$K$76,'Coding (day-wise)'!$B$7:$B$76,$A19,'Coding (day-wise)'!$C$7:$C$76,"ML / DL coding &amp; projects")</f>
        <v>5</v>
      </c>
      <c r="E19" s="31" t="n">
        <f aca="false">SUM(B19:D19)</f>
        <v>12.25</v>
      </c>
      <c r="F19" s="32" t="n">
        <f aca="false">COUNTIFS('Theory (day-wise)'!$B$7:$B$83,$A19)</f>
        <v>3</v>
      </c>
      <c r="G19" s="32" t="n">
        <f aca="false">COUNTIFS('Coding (day-wise)'!$B$7:$B$76,$A19,'Coding (day-wise)'!$C$7:$C$76,"DSA / SQL practice")</f>
        <v>1</v>
      </c>
      <c r="H19" s="32" t="n">
        <f aca="false">COUNTIFS('Theory (day-wise)'!$B$7:$B$83,$A19,'Theory (day-wise)'!$K$7:$K$83,"Done")+COUNTIFS('Coding (day-wise)'!$B$7:$B$76,$A19,'Coding (day-wise)'!$L$7:$L$76,"Done")</f>
        <v>0</v>
      </c>
      <c r="I19" s="32" t="n">
        <f aca="false">F19+COUNTIFS('Coding (day-wise)'!$B$7:$B$76,$A19)</f>
        <v>6</v>
      </c>
      <c r="J19" s="33" t="n">
        <f aca="false">IF(I19=0,0,H19/I19)</f>
        <v>0</v>
      </c>
    </row>
    <row r="20" customFormat="false" ht="15" hidden="false" customHeight="true" outlineLevel="0" collapsed="false">
      <c r="A20" s="34" t="n">
        <v>46323</v>
      </c>
      <c r="B20" s="35" t="n">
        <f aca="false">SUMIFS('Theory (day-wise)'!$J$7:$J$83,'Theory (day-wise)'!$B$7:$B$83,$A20)</f>
        <v>6.5</v>
      </c>
      <c r="C20" s="35" t="n">
        <f aca="false">SUMIFS('Coding (day-wise)'!$K$7:$K$76,'Coding (day-wise)'!$B$7:$B$76,$A20,'Coding (day-wise)'!$C$7:$C$76,"DSA / SQL practice")</f>
        <v>3.25</v>
      </c>
      <c r="D20" s="35" t="n">
        <f aca="false">SUMIFS('Coding (day-wise)'!$K$7:$K$76,'Coding (day-wise)'!$B$7:$B$76,$A20,'Coding (day-wise)'!$C$7:$C$76,"ML / DL coding &amp; projects")</f>
        <v>2.75</v>
      </c>
      <c r="E20" s="36" t="n">
        <f aca="false">SUM(B20:D20)</f>
        <v>12.5</v>
      </c>
      <c r="F20" s="37" t="n">
        <f aca="false">COUNTIFS('Theory (day-wise)'!$B$7:$B$83,$A20)</f>
        <v>5</v>
      </c>
      <c r="G20" s="37" t="n">
        <f aca="false">COUNTIFS('Coding (day-wise)'!$B$7:$B$76,$A20,'Coding (day-wise)'!$C$7:$C$76,"DSA / SQL practice")</f>
        <v>2</v>
      </c>
      <c r="H20" s="37" t="n">
        <f aca="false">COUNTIFS('Theory (day-wise)'!$B$7:$B$83,$A20,'Theory (day-wise)'!$K$7:$K$83,"Done")+COUNTIFS('Coding (day-wise)'!$B$7:$B$76,$A20,'Coding (day-wise)'!$L$7:$L$76,"Done")</f>
        <v>0</v>
      </c>
      <c r="I20" s="37" t="n">
        <f aca="false">F20+COUNTIFS('Coding (day-wise)'!$B$7:$B$76,$A20)</f>
        <v>9</v>
      </c>
      <c r="J20" s="38" t="n">
        <f aca="false">IF(I20=0,0,H20/I20)</f>
        <v>0</v>
      </c>
    </row>
    <row r="21" customFormat="false" ht="15" hidden="false" customHeight="true" outlineLevel="0" collapsed="false">
      <c r="A21" s="29" t="n">
        <v>46324</v>
      </c>
      <c r="B21" s="30" t="n">
        <f aca="false">SUMIFS('Theory (day-wise)'!$J$7:$J$83,'Theory (day-wise)'!$B$7:$B$83,$A21)</f>
        <v>6</v>
      </c>
      <c r="C21" s="30" t="n">
        <f aca="false">SUMIFS('Coding (day-wise)'!$K$7:$K$76,'Coding (day-wise)'!$B$7:$B$76,$A21,'Coding (day-wise)'!$C$7:$C$76,"DSA / SQL practice")</f>
        <v>4</v>
      </c>
      <c r="D21" s="30" t="n">
        <f aca="false">SUMIFS('Coding (day-wise)'!$K$7:$K$76,'Coding (day-wise)'!$B$7:$B$76,$A21,'Coding (day-wise)'!$C$7:$C$76,"ML / DL coding &amp; projects")</f>
        <v>1.5</v>
      </c>
      <c r="E21" s="31" t="n">
        <f aca="false">SUM(B21:D21)</f>
        <v>11.5</v>
      </c>
      <c r="F21" s="32" t="n">
        <f aca="false">COUNTIFS('Theory (day-wise)'!$B$7:$B$83,$A21)</f>
        <v>3</v>
      </c>
      <c r="G21" s="32" t="n">
        <f aca="false">COUNTIFS('Coding (day-wise)'!$B$7:$B$76,$A21,'Coding (day-wise)'!$C$7:$C$76,"DSA / SQL practice")</f>
        <v>2</v>
      </c>
      <c r="H21" s="32" t="n">
        <f aca="false">COUNTIFS('Theory (day-wise)'!$B$7:$B$83,$A21,'Theory (day-wise)'!$K$7:$K$83,"Done")+COUNTIFS('Coding (day-wise)'!$B$7:$B$76,$A21,'Coding (day-wise)'!$L$7:$L$76,"Done")</f>
        <v>0</v>
      </c>
      <c r="I21" s="32" t="n">
        <f aca="false">F21+COUNTIFS('Coding (day-wise)'!$B$7:$B$76,$A21)</f>
        <v>6</v>
      </c>
      <c r="J21" s="33" t="n">
        <f aca="false">IF(I21=0,0,H21/I21)</f>
        <v>0</v>
      </c>
    </row>
    <row r="22" customFormat="false" ht="15" hidden="false" customHeight="true" outlineLevel="0" collapsed="false">
      <c r="A22" s="34" t="n">
        <v>46325</v>
      </c>
      <c r="B22" s="35" t="n">
        <f aca="false">SUMIFS('Theory (day-wise)'!$J$7:$J$83,'Theory (day-wise)'!$B$7:$B$83,$A22)</f>
        <v>5.5</v>
      </c>
      <c r="C22" s="35" t="n">
        <f aca="false">SUMIFS('Coding (day-wise)'!$K$7:$K$76,'Coding (day-wise)'!$B$7:$B$76,$A22,'Coding (day-wise)'!$C$7:$C$76,"DSA / SQL practice")</f>
        <v>3.25</v>
      </c>
      <c r="D22" s="35" t="n">
        <f aca="false">SUMIFS('Coding (day-wise)'!$K$7:$K$76,'Coding (day-wise)'!$B$7:$B$76,$A22,'Coding (day-wise)'!$C$7:$C$76,"ML / DL coding &amp; projects")</f>
        <v>3.75</v>
      </c>
      <c r="E22" s="36" t="n">
        <f aca="false">SUM(B22:D22)</f>
        <v>12.5</v>
      </c>
      <c r="F22" s="37" t="n">
        <f aca="false">COUNTIFS('Theory (day-wise)'!$B$7:$B$83,$A22)</f>
        <v>3</v>
      </c>
      <c r="G22" s="37" t="n">
        <f aca="false">COUNTIFS('Coding (day-wise)'!$B$7:$B$76,$A22,'Coding (day-wise)'!$C$7:$C$76,"DSA / SQL practice")</f>
        <v>2</v>
      </c>
      <c r="H22" s="37" t="n">
        <f aca="false">COUNTIFS('Theory (day-wise)'!$B$7:$B$83,$A22,'Theory (day-wise)'!$K$7:$K$83,"Done")+COUNTIFS('Coding (day-wise)'!$B$7:$B$76,$A22,'Coding (day-wise)'!$L$7:$L$76,"Done")</f>
        <v>0</v>
      </c>
      <c r="I22" s="37" t="n">
        <f aca="false">F22+COUNTIFS('Coding (day-wise)'!$B$7:$B$76,$A22)</f>
        <v>7</v>
      </c>
      <c r="J22" s="38" t="n">
        <f aca="false">IF(I22=0,0,H22/I22)</f>
        <v>0</v>
      </c>
    </row>
    <row r="23" customFormat="false" ht="15" hidden="false" customHeight="true" outlineLevel="0" collapsed="false">
      <c r="A23" s="29" t="n">
        <v>46326</v>
      </c>
      <c r="B23" s="30" t="n">
        <f aca="false">SUMIFS('Theory (day-wise)'!$J$7:$J$83,'Theory (day-wise)'!$B$7:$B$83,$A23)</f>
        <v>5.25</v>
      </c>
      <c r="C23" s="30" t="n">
        <f aca="false">SUMIFS('Coding (day-wise)'!$K$7:$K$76,'Coding (day-wise)'!$B$7:$B$76,$A23,'Coding (day-wise)'!$C$7:$C$76,"DSA / SQL practice")</f>
        <v>2</v>
      </c>
      <c r="D23" s="30" t="n">
        <f aca="false">SUMIFS('Coding (day-wise)'!$K$7:$K$76,'Coding (day-wise)'!$B$7:$B$76,$A23,'Coding (day-wise)'!$C$7:$C$76,"ML / DL coding &amp; projects")</f>
        <v>5</v>
      </c>
      <c r="E23" s="31" t="n">
        <f aca="false">SUM(B23:D23)</f>
        <v>12.25</v>
      </c>
      <c r="F23" s="32" t="n">
        <f aca="false">COUNTIFS('Theory (day-wise)'!$B$7:$B$83,$A23)</f>
        <v>4</v>
      </c>
      <c r="G23" s="32" t="n">
        <f aca="false">COUNTIFS('Coding (day-wise)'!$B$7:$B$76,$A23,'Coding (day-wise)'!$C$7:$C$76,"DSA / SQL practice")</f>
        <v>1</v>
      </c>
      <c r="H23" s="32" t="n">
        <f aca="false">COUNTIFS('Theory (day-wise)'!$B$7:$B$83,$A23,'Theory (day-wise)'!$K$7:$K$83,"Done")+COUNTIFS('Coding (day-wise)'!$B$7:$B$76,$A23,'Coding (day-wise)'!$L$7:$L$76,"Done")</f>
        <v>0</v>
      </c>
      <c r="I23" s="32" t="n">
        <f aca="false">F23+COUNTIFS('Coding (day-wise)'!$B$7:$B$76,$A23)</f>
        <v>7</v>
      </c>
      <c r="J23" s="33" t="n">
        <f aca="false">IF(I23=0,0,H23/I23)</f>
        <v>0</v>
      </c>
    </row>
    <row r="24" customFormat="false" ht="15" hidden="false" customHeight="true" outlineLevel="0" collapsed="false">
      <c r="A24" s="34" t="n">
        <v>46327</v>
      </c>
      <c r="B24" s="35" t="n">
        <f aca="false">SUMIFS('Theory (day-wise)'!$J$7:$J$83,'Theory (day-wise)'!$B$7:$B$83,$A24)</f>
        <v>5.5</v>
      </c>
      <c r="C24" s="35" t="n">
        <f aca="false">SUMIFS('Coding (day-wise)'!$K$7:$K$76,'Coding (day-wise)'!$B$7:$B$76,$A24,'Coding (day-wise)'!$C$7:$C$76,"DSA / SQL practice")</f>
        <v>3.5</v>
      </c>
      <c r="D24" s="35" t="n">
        <f aca="false">SUMIFS('Coding (day-wise)'!$K$7:$K$76,'Coding (day-wise)'!$B$7:$B$76,$A24,'Coding (day-wise)'!$C$7:$C$76,"ML / DL coding &amp; projects")</f>
        <v>3</v>
      </c>
      <c r="E24" s="36" t="n">
        <f aca="false">SUM(B24:D24)</f>
        <v>12</v>
      </c>
      <c r="F24" s="37" t="n">
        <f aca="false">COUNTIFS('Theory (day-wise)'!$B$7:$B$83,$A24)</f>
        <v>4</v>
      </c>
      <c r="G24" s="37" t="n">
        <f aca="false">COUNTIFS('Coding (day-wise)'!$B$7:$B$76,$A24,'Coding (day-wise)'!$C$7:$C$76,"DSA / SQL practice")</f>
        <v>2</v>
      </c>
      <c r="H24" s="37" t="n">
        <f aca="false">COUNTIFS('Theory (day-wise)'!$B$7:$B$83,$A24,'Theory (day-wise)'!$K$7:$K$83,"Done")+COUNTIFS('Coding (day-wise)'!$B$7:$B$76,$A24,'Coding (day-wise)'!$L$7:$L$76,"Done")</f>
        <v>0</v>
      </c>
      <c r="I24" s="37" t="n">
        <f aca="false">F24+COUNTIFS('Coding (day-wise)'!$B$7:$B$76,$A24)</f>
        <v>8</v>
      </c>
      <c r="J24" s="38" t="n">
        <f aca="false">IF(I24=0,0,H24/I24)</f>
        <v>0</v>
      </c>
    </row>
    <row r="25" customFormat="false" ht="15" hidden="false" customHeight="true" outlineLevel="0" collapsed="false">
      <c r="A25" s="29" t="n">
        <v>46328</v>
      </c>
      <c r="B25" s="30" t="n">
        <f aca="false">SUMIFS('Theory (day-wise)'!$J$7:$J$83,'Theory (day-wise)'!$B$7:$B$83,$A25)</f>
        <v>6.75</v>
      </c>
      <c r="C25" s="30" t="n">
        <f aca="false">SUMIFS('Coding (day-wise)'!$K$7:$K$76,'Coding (day-wise)'!$B$7:$B$76,$A25,'Coding (day-wise)'!$C$7:$C$76,"DSA / SQL practice")</f>
        <v>3.5</v>
      </c>
      <c r="D25" s="30" t="n">
        <f aca="false">SUMIFS('Coding (day-wise)'!$K$7:$K$76,'Coding (day-wise)'!$B$7:$B$76,$A25,'Coding (day-wise)'!$C$7:$C$76,"ML / DL coding &amp; projects")</f>
        <v>2.25</v>
      </c>
      <c r="E25" s="31" t="n">
        <f aca="false">SUM(B25:D25)</f>
        <v>12.5</v>
      </c>
      <c r="F25" s="32" t="n">
        <f aca="false">COUNTIFS('Theory (day-wise)'!$B$7:$B$83,$A25)</f>
        <v>4</v>
      </c>
      <c r="G25" s="32" t="n">
        <f aca="false">COUNTIFS('Coding (day-wise)'!$B$7:$B$76,$A25,'Coding (day-wise)'!$C$7:$C$76,"DSA / SQL practice")</f>
        <v>2</v>
      </c>
      <c r="H25" s="32" t="n">
        <f aca="false">COUNTIFS('Theory (day-wise)'!$B$7:$B$83,$A25,'Theory (day-wise)'!$K$7:$K$83,"Done")+COUNTIFS('Coding (day-wise)'!$B$7:$B$76,$A25,'Coding (day-wise)'!$L$7:$L$76,"Done")</f>
        <v>0</v>
      </c>
      <c r="I25" s="32" t="n">
        <f aca="false">F25+COUNTIFS('Coding (day-wise)'!$B$7:$B$76,$A25)</f>
        <v>7</v>
      </c>
      <c r="J25" s="33" t="n">
        <f aca="false">IF(I25=0,0,H25/I25)</f>
        <v>0</v>
      </c>
    </row>
    <row r="26" customFormat="false" ht="15" hidden="false" customHeight="true" outlineLevel="0" collapsed="false">
      <c r="A26" s="34" t="n">
        <v>46329</v>
      </c>
      <c r="B26" s="35" t="n">
        <f aca="false">SUMIFS('Theory (day-wise)'!$J$7:$J$83,'Theory (day-wise)'!$B$7:$B$83,$A26)</f>
        <v>4.75</v>
      </c>
      <c r="C26" s="35" t="n">
        <f aca="false">SUMIFS('Coding (day-wise)'!$K$7:$K$76,'Coding (day-wise)'!$B$7:$B$76,$A26,'Coding (day-wise)'!$C$7:$C$76,"DSA / SQL practice")</f>
        <v>3.5</v>
      </c>
      <c r="D26" s="35" t="n">
        <f aca="false">SUMIFS('Coding (day-wise)'!$K$7:$K$76,'Coding (day-wise)'!$B$7:$B$76,$A26,'Coding (day-wise)'!$C$7:$C$76,"ML / DL coding &amp; projects")</f>
        <v>4.25</v>
      </c>
      <c r="E26" s="36" t="n">
        <f aca="false">SUM(B26:D26)</f>
        <v>12.5</v>
      </c>
      <c r="F26" s="37" t="n">
        <f aca="false">COUNTIFS('Theory (day-wise)'!$B$7:$B$83,$A26)</f>
        <v>3</v>
      </c>
      <c r="G26" s="37" t="n">
        <f aca="false">COUNTIFS('Coding (day-wise)'!$B$7:$B$76,$A26,'Coding (day-wise)'!$C$7:$C$76,"DSA / SQL practice")</f>
        <v>2</v>
      </c>
      <c r="H26" s="37" t="n">
        <f aca="false">COUNTIFS('Theory (day-wise)'!$B$7:$B$83,$A26,'Theory (day-wise)'!$K$7:$K$83,"Done")+COUNTIFS('Coding (day-wise)'!$B$7:$B$76,$A26,'Coding (day-wise)'!$L$7:$L$76,"Done")</f>
        <v>0</v>
      </c>
      <c r="I26" s="37" t="n">
        <f aca="false">F26+COUNTIFS('Coding (day-wise)'!$B$7:$B$76,$A26)</f>
        <v>7</v>
      </c>
      <c r="J26" s="38" t="n">
        <f aca="false">IF(I26=0,0,H26/I26)</f>
        <v>0</v>
      </c>
    </row>
    <row r="27" customFormat="false" ht="15" hidden="false" customHeight="true" outlineLevel="0" collapsed="false">
      <c r="A27" s="39" t="s">
        <v>574</v>
      </c>
      <c r="B27" s="36" t="n">
        <f aca="false">SUM(B5:B26)</f>
        <v>131.5</v>
      </c>
      <c r="C27" s="36" t="n">
        <f aca="false">SUM(C5:C26)</f>
        <v>60.75</v>
      </c>
      <c r="D27" s="36" t="n">
        <f aca="false">SUM(D5:D26)</f>
        <v>75.5</v>
      </c>
      <c r="E27" s="36" t="n">
        <f aca="false">SUM(E5:E26)</f>
        <v>267.75</v>
      </c>
      <c r="F27" s="39" t="n">
        <f aca="false">SUM(F5:F26)</f>
        <v>77</v>
      </c>
      <c r="G27" s="39" t="n">
        <f aca="false">SUM(G5:G26)</f>
        <v>33</v>
      </c>
      <c r="H27" s="39" t="n">
        <f aca="false">SUM(H5:H26)</f>
        <v>0</v>
      </c>
      <c r="I27" s="39" t="n">
        <f aca="false">SUM(I5:I26)</f>
        <v>147</v>
      </c>
      <c r="J27" s="40" t="n">
        <f aca="false">IF(I27=0,0,H27/I27)</f>
        <v>0</v>
      </c>
    </row>
    <row r="28" customFormat="false" ht="15" hidden="false" customHeight="true" outlineLevel="0" collapsed="false">
      <c r="A28" s="39" t="s">
        <v>575</v>
      </c>
      <c r="B28" s="36" t="n">
        <f aca="false">AVERAGE(B5:B26)</f>
        <v>5.97727272727273</v>
      </c>
      <c r="C28" s="36" t="n">
        <f aca="false">AVERAGE(C5:C26)</f>
        <v>2.76136363636364</v>
      </c>
      <c r="D28" s="36" t="n">
        <f aca="false">AVERAGE(D5:D26)</f>
        <v>3.43181818181818</v>
      </c>
      <c r="E28" s="36" t="n">
        <f aca="false">AVERAGE(E5:E26)</f>
        <v>12.1704545454545</v>
      </c>
      <c r="F28" s="39"/>
      <c r="G28" s="39"/>
      <c r="H28" s="39"/>
      <c r="I28" s="39"/>
      <c r="J28" s="40"/>
    </row>
    <row r="29" customFormat="false" ht="15" hidden="false" customHeight="true" outlineLevel="0" collapsed="false">
      <c r="A29" s="39" t="s">
        <v>576</v>
      </c>
      <c r="B29" s="36"/>
      <c r="C29" s="36"/>
      <c r="D29" s="36"/>
      <c r="E29" s="36" t="str">
        <f aca="false">TEXT(MIN(E5:E26),"0.00")&amp;" – "&amp;TEXT(MAX(E5:E26),"0.00")</f>
        <v>11.50 – 12.50</v>
      </c>
      <c r="F29" s="39"/>
      <c r="G29" s="39"/>
      <c r="H29" s="39"/>
      <c r="I29" s="39"/>
      <c r="J29" s="40"/>
    </row>
  </sheetData>
  <conditionalFormatting sqref="E5:E26">
    <cfRule type="colorScale" priority="2">
      <colorScale>
        <cfvo type="min" val="0"/>
        <cfvo type="max" val="0"/>
        <color rgb="FFE2EFDA"/>
        <color rgb="FFF8CBA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2026-10-08T22:50:31Z</dcterms:created>
  <dc:creator>openpyxl</dc:creator>
  <dc:description/>
  <dc:language>en-US</dc:language>
  <cp:lastModifiedBy/>
  <dcterms:modified xsi:type="dcterms:W3CDTF">2026-10-10T19:05:48Z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